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vie\OneDrive\Documentos\proyectos\Black-Sholes\"/>
    </mc:Choice>
  </mc:AlternateContent>
  <xr:revisionPtr revIDLastSave="0" documentId="13_ncr:1_{0D4ADB65-8453-41BB-830F-026DCAB7024C}" xr6:coauthVersionLast="36" xr6:coauthVersionMax="36" xr10:uidLastSave="{00000000-0000-0000-0000-000000000000}"/>
  <bookViews>
    <workbookView xWindow="0" yWindow="0" windowWidth="24000" windowHeight="9525" xr2:uid="{D6C22EFA-12A4-4053-8FAB-8F8487B06A37}"/>
  </bookViews>
  <sheets>
    <sheet name="DataRaw" sheetId="1" r:id="rId1"/>
    <sheet name="WebQuery" sheetId="2" r:id="rId2"/>
  </sheets>
  <definedNames>
    <definedName name="tbl_cotizaciones">WebQuery!#REF!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2" l="1"/>
  <c r="D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846D393-DAED-4548-A70F-453749A2F4CE}" keepAlive="1" name="Conexión" type="5" refreshedVersion="0" background="1">
    <dbPr connection="Provider=Microsoft.Mashup.OleDb.1;Data Source=$Workbook$;Location=&quot;Table 2 (2)&quot;;Extended Properties=&quot;&quot;" commandType="0"/>
  </connection>
</connections>
</file>

<file path=xl/sharedStrings.xml><?xml version="1.0" encoding="utf-8"?>
<sst xmlns="http://schemas.openxmlformats.org/spreadsheetml/2006/main" count="29" uniqueCount="26">
  <si>
    <t>Date</t>
  </si>
  <si>
    <t>Open</t>
  </si>
  <si>
    <t>Low</t>
  </si>
  <si>
    <t>Close</t>
  </si>
  <si>
    <t>Adj Close</t>
  </si>
  <si>
    <t>Log ri</t>
  </si>
  <si>
    <t>Rho</t>
  </si>
  <si>
    <t>Ln(ri-rho)</t>
  </si>
  <si>
    <t>Ln(ri-rho)^2</t>
  </si>
  <si>
    <t>Sigma</t>
  </si>
  <si>
    <t>Nº Returns</t>
  </si>
  <si>
    <t>Annual Sigma</t>
  </si>
  <si>
    <t>Free Annual Risk</t>
  </si>
  <si>
    <t>Stock Price (today)</t>
  </si>
  <si>
    <t>Strike Price (future)</t>
  </si>
  <si>
    <t>Time to maturity</t>
  </si>
  <si>
    <t>d1</t>
  </si>
  <si>
    <t>d2</t>
  </si>
  <si>
    <t>Call</t>
  </si>
  <si>
    <t>Put</t>
  </si>
  <si>
    <t>Daily Reveneu (ri)</t>
  </si>
  <si>
    <t>Black-Sholes-Merton Equation</t>
  </si>
  <si>
    <t>Start Date</t>
  </si>
  <si>
    <t>End Date</t>
  </si>
  <si>
    <t>Tickert</t>
  </si>
  <si>
    <t>Hight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</si>
</sst>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0.000%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"/>
      <family val="2"/>
    </font>
    <font>
      <b/>
      <sz val="13"/>
      <color theme="3"/>
      <name val="Segoe UI"/>
      <family val="2"/>
    </font>
    <font>
      <b/>
      <sz val="11"/>
      <name val="Segoe UI"/>
      <family val="2"/>
    </font>
    <font>
      <b/>
      <sz val="11"/>
      <color theme="0"/>
      <name val="Segoe UI"/>
      <family val="2"/>
    </font>
    <font>
      <b/>
      <sz val="11"/>
      <color rgb="FFFA7D00"/>
      <name val="Segoe UI"/>
      <family val="2"/>
    </font>
    <font>
      <b/>
      <sz val="26"/>
      <color theme="7"/>
      <name val="Segoe UI"/>
      <family val="2"/>
    </font>
    <font>
      <b/>
      <sz val="26"/>
      <color theme="0"/>
      <name val="Segoe UI"/>
      <family val="2"/>
    </font>
    <font>
      <b/>
      <i/>
      <sz val="11"/>
      <color theme="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3" borderId="2" applyNumberFormat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7" borderId="0" applyNumberFormat="0" applyBorder="0" applyAlignment="0" applyProtection="0"/>
    <xf numFmtId="0" fontId="1" fillId="8" borderId="0" applyNumberFormat="0" applyBorder="0" applyAlignment="0" applyProtection="0"/>
  </cellStyleXfs>
  <cellXfs count="31">
    <xf numFmtId="0" fontId="0" fillId="0" borderId="0" xfId="0"/>
    <xf numFmtId="0" fontId="6" fillId="0" borderId="0" xfId="0" applyFont="1"/>
    <xf numFmtId="0" fontId="8" fillId="2" borderId="6" xfId="4" applyFont="1" applyBorder="1"/>
    <xf numFmtId="44" fontId="6" fillId="6" borderId="3" xfId="1" applyFont="1" applyFill="1" applyBorder="1"/>
    <xf numFmtId="14" fontId="6" fillId="0" borderId="0" xfId="0" applyNumberFormat="1" applyFont="1"/>
    <xf numFmtId="0" fontId="8" fillId="2" borderId="4" xfId="4" applyFont="1" applyBorder="1"/>
    <xf numFmtId="0" fontId="6" fillId="6" borderId="5" xfId="0" applyFont="1" applyFill="1" applyBorder="1"/>
    <xf numFmtId="0" fontId="9" fillId="5" borderId="3" xfId="7" applyFont="1" applyBorder="1"/>
    <xf numFmtId="0" fontId="10" fillId="3" borderId="2" xfId="5" applyFont="1"/>
    <xf numFmtId="44" fontId="10" fillId="3" borderId="2" xfId="5" applyNumberFormat="1" applyFont="1"/>
    <xf numFmtId="0" fontId="7" fillId="0" borderId="9" xfId="3" applyFont="1" applyBorder="1"/>
    <xf numFmtId="0" fontId="8" fillId="2" borderId="10" xfId="4" applyFont="1" applyBorder="1"/>
    <xf numFmtId="44" fontId="6" fillId="6" borderId="9" xfId="1" applyFont="1" applyFill="1" applyBorder="1"/>
    <xf numFmtId="164" fontId="6" fillId="6" borderId="9" xfId="2" applyNumberFormat="1" applyFont="1" applyFill="1" applyBorder="1"/>
    <xf numFmtId="14" fontId="0" fillId="0" borderId="0" xfId="0" applyNumberFormat="1"/>
    <xf numFmtId="0" fontId="2" fillId="0" borderId="1" xfId="3"/>
    <xf numFmtId="0" fontId="0" fillId="0" borderId="0" xfId="0" applyNumberFormat="1"/>
    <xf numFmtId="0" fontId="0" fillId="8" borderId="0" xfId="9" applyFont="1"/>
    <xf numFmtId="14" fontId="1" fillId="8" borderId="0" xfId="9" applyNumberFormat="1"/>
    <xf numFmtId="14" fontId="9" fillId="7" borderId="0" xfId="8" applyNumberFormat="1" applyFont="1" applyAlignment="1">
      <alignment horizontal="center"/>
    </xf>
    <xf numFmtId="0" fontId="9" fillId="7" borderId="0" xfId="8" applyFont="1" applyAlignment="1">
      <alignment horizontal="center"/>
    </xf>
    <xf numFmtId="0" fontId="11" fillId="9" borderId="12" xfId="0" applyFont="1" applyFill="1" applyBorder="1" applyAlignment="1">
      <alignment horizontal="center" vertical="center"/>
    </xf>
    <xf numFmtId="0" fontId="11" fillId="9" borderId="13" xfId="0" applyFont="1" applyFill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6" fillId="10" borderId="7" xfId="6" applyFont="1" applyFill="1" applyBorder="1"/>
    <xf numFmtId="0" fontId="6" fillId="10" borderId="3" xfId="6" applyFont="1" applyFill="1" applyBorder="1"/>
    <xf numFmtId="0" fontId="6" fillId="10" borderId="5" xfId="6" applyFont="1" applyFill="1" applyBorder="1"/>
    <xf numFmtId="0" fontId="6" fillId="10" borderId="8" xfId="6" applyFont="1" applyFill="1" applyBorder="1"/>
    <xf numFmtId="0" fontId="6" fillId="10" borderId="0" xfId="0" applyFont="1" applyFill="1"/>
    <xf numFmtId="9" fontId="6" fillId="10" borderId="3" xfId="2" applyFont="1" applyFill="1" applyBorder="1"/>
    <xf numFmtId="0" fontId="13" fillId="5" borderId="3" xfId="7" applyFont="1" applyBorder="1"/>
  </cellXfs>
  <cellStyles count="10">
    <cellStyle name="20% - Énfasis1" xfId="9" builtinId="30"/>
    <cellStyle name="20% - Énfasis2" xfId="6" builtinId="34"/>
    <cellStyle name="Cálculo" xfId="5" builtinId="22"/>
    <cellStyle name="Énfasis1" xfId="8" builtinId="29"/>
    <cellStyle name="Énfasis5" xfId="7" builtinId="45"/>
    <cellStyle name="Entrada" xfId="4" builtinId="20"/>
    <cellStyle name="Moneda" xfId="1" builtinId="4"/>
    <cellStyle name="Normal" xfId="0" builtinId="0"/>
    <cellStyle name="Porcentaje" xfId="2" builtinId="5"/>
    <cellStyle name="Título 2" xfId="3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962025</xdr:colOff>
          <xdr:row>0</xdr:row>
          <xdr:rowOff>123826</xdr:rowOff>
        </xdr:from>
        <xdr:to>
          <xdr:col>3</xdr:col>
          <xdr:colOff>742950</xdr:colOff>
          <xdr:row>0</xdr:row>
          <xdr:rowOff>495300</xdr:rowOff>
        </xdr:to>
        <xdr:sp macro="" textlink="">
          <xdr:nvSpPr>
            <xdr:cNvPr id="1028" name="calibra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962024</xdr:colOff>
          <xdr:row>0</xdr:row>
          <xdr:rowOff>561975</xdr:rowOff>
        </xdr:from>
        <xdr:to>
          <xdr:col>3</xdr:col>
          <xdr:colOff>723900</xdr:colOff>
          <xdr:row>0</xdr:row>
          <xdr:rowOff>962025</xdr:rowOff>
        </xdr:to>
        <xdr:sp macro="" textlink="">
          <xdr:nvSpPr>
            <xdr:cNvPr id="1029" name="B_Shole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0</xdr:row>
          <xdr:rowOff>323850</xdr:rowOff>
        </xdr:from>
        <xdr:to>
          <xdr:col>5</xdr:col>
          <xdr:colOff>523875</xdr:colOff>
          <xdr:row>0</xdr:row>
          <xdr:rowOff>638175</xdr:rowOff>
        </xdr:to>
        <xdr:sp macro="" textlink="">
          <xdr:nvSpPr>
            <xdr:cNvPr id="1031" name="Clea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238117</xdr:colOff>
      <xdr:row>8</xdr:row>
      <xdr:rowOff>190500</xdr:rowOff>
    </xdr:from>
    <xdr:to>
      <xdr:col>17</xdr:col>
      <xdr:colOff>827807</xdr:colOff>
      <xdr:row>29</xdr:row>
      <xdr:rowOff>85725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34917" y="2781300"/>
          <a:ext cx="5542690" cy="42957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114299</xdr:colOff>
          <xdr:row>0</xdr:row>
          <xdr:rowOff>104775</xdr:rowOff>
        </xdr:from>
        <xdr:to>
          <xdr:col>1</xdr:col>
          <xdr:colOff>895349</xdr:colOff>
          <xdr:row>0</xdr:row>
          <xdr:rowOff>523875</xdr:rowOff>
        </xdr:to>
        <xdr:sp macro="" textlink="">
          <xdr:nvSpPr>
            <xdr:cNvPr id="1032" name="testUserForm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86F5DCAF-B144-4337-965F-E7A7D67B5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581025</xdr:rowOff>
        </xdr:from>
        <xdr:to>
          <xdr:col>1</xdr:col>
          <xdr:colOff>895350</xdr:colOff>
          <xdr:row>0</xdr:row>
          <xdr:rowOff>962025</xdr:rowOff>
        </xdr:to>
        <xdr:sp macro="" textlink="">
          <xdr:nvSpPr>
            <xdr:cNvPr id="1033" name="ScrapYaho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7B4DDE47-74F0-44D4-B541-080823DF5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E2A4C-8789-4FCF-8EA4-7AE0093375F5}">
  <sheetPr codeName="Hoja1"/>
  <dimension ref="A1:R360"/>
  <sheetViews>
    <sheetView showGridLines="0" tabSelected="1" workbookViewId="0">
      <selection activeCell="A6" sqref="A6"/>
    </sheetView>
  </sheetViews>
  <sheetFormatPr baseColWidth="10" defaultRowHeight="15" x14ac:dyDescent="0.25"/>
  <cols>
    <col min="1" max="1" width="11.85546875" bestFit="1" customWidth="1"/>
    <col min="2" max="2" width="14.7109375" customWidth="1"/>
    <col min="3" max="3" width="11.5703125" bestFit="1" customWidth="1"/>
    <col min="4" max="4" width="14.7109375" customWidth="1"/>
    <col min="5" max="5" width="11.5703125" bestFit="1" customWidth="1"/>
    <col min="6" max="6" width="15" customWidth="1"/>
    <col min="8" max="16" width="17.7109375" customWidth="1"/>
    <col min="17" max="17" width="21.140625" bestFit="1" customWidth="1"/>
    <col min="18" max="18" width="17.140625" customWidth="1"/>
  </cols>
  <sheetData>
    <row r="1" spans="1:18" ht="86.25" customHeight="1" thickBot="1" x14ac:dyDescent="0.3">
      <c r="A1" s="23" t="s">
        <v>21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2"/>
    </row>
    <row r="2" spans="1:18" ht="19.5" thickBot="1" x14ac:dyDescent="0.4">
      <c r="A2" s="15" t="s">
        <v>24</v>
      </c>
      <c r="B2" s="17"/>
      <c r="C2" s="15" t="s">
        <v>22</v>
      </c>
      <c r="D2" s="18"/>
      <c r="E2" s="15" t="s">
        <v>23</v>
      </c>
      <c r="F2" s="18"/>
      <c r="G2" s="1"/>
      <c r="H2" s="10" t="s">
        <v>20</v>
      </c>
      <c r="I2" s="10" t="s">
        <v>5</v>
      </c>
      <c r="J2" s="10" t="s">
        <v>10</v>
      </c>
      <c r="K2" s="10" t="s">
        <v>6</v>
      </c>
      <c r="L2" s="10" t="s">
        <v>7</v>
      </c>
      <c r="M2" s="10" t="s">
        <v>8</v>
      </c>
      <c r="N2" s="10" t="s">
        <v>9</v>
      </c>
      <c r="O2" s="10" t="s">
        <v>11</v>
      </c>
      <c r="P2" s="10" t="s">
        <v>12</v>
      </c>
      <c r="Q2" s="11" t="s">
        <v>13</v>
      </c>
      <c r="R2" s="12">
        <v>250</v>
      </c>
    </row>
    <row r="3" spans="1:18" ht="17.25" thickTop="1" x14ac:dyDescent="0.3">
      <c r="A3" s="4"/>
      <c r="B3" s="1"/>
      <c r="C3" s="1"/>
      <c r="D3" s="1"/>
      <c r="E3" s="1"/>
      <c r="F3" s="1"/>
      <c r="G3" s="1"/>
      <c r="H3" s="24"/>
      <c r="I3" s="25"/>
      <c r="J3" s="25"/>
      <c r="K3" s="25"/>
      <c r="L3" s="25"/>
      <c r="M3" s="25"/>
      <c r="N3" s="29"/>
      <c r="O3" s="29"/>
      <c r="P3" s="13">
        <v>-5.0000000000000001E-3</v>
      </c>
      <c r="Q3" s="2" t="s">
        <v>14</v>
      </c>
      <c r="R3" s="3">
        <v>300</v>
      </c>
    </row>
    <row r="4" spans="1:18" ht="16.5" x14ac:dyDescent="0.3">
      <c r="A4" s="19" t="s">
        <v>0</v>
      </c>
      <c r="B4" s="20" t="s">
        <v>1</v>
      </c>
      <c r="C4" s="20" t="s">
        <v>25</v>
      </c>
      <c r="D4" s="20" t="s">
        <v>2</v>
      </c>
      <c r="E4" s="20" t="s">
        <v>3</v>
      </c>
      <c r="F4" s="20" t="s">
        <v>4</v>
      </c>
      <c r="G4" s="1"/>
      <c r="H4" s="26"/>
      <c r="I4" s="25"/>
      <c r="J4" s="1"/>
      <c r="K4" s="1"/>
      <c r="L4" s="25"/>
      <c r="M4" s="25"/>
      <c r="N4" s="1"/>
      <c r="O4" s="1"/>
      <c r="P4" s="1"/>
      <c r="Q4" s="5" t="s">
        <v>15</v>
      </c>
      <c r="R4" s="6">
        <v>0.6</v>
      </c>
    </row>
    <row r="5" spans="1:18" ht="16.5" x14ac:dyDescent="0.3">
      <c r="A5" s="14"/>
      <c r="G5" s="1"/>
      <c r="H5" s="26"/>
      <c r="I5" s="25"/>
      <c r="J5" s="1"/>
      <c r="K5" s="1"/>
      <c r="L5" s="25"/>
      <c r="M5" s="25"/>
      <c r="N5" s="1"/>
      <c r="O5" s="1"/>
      <c r="P5" s="1"/>
      <c r="Q5" s="7" t="s">
        <v>16</v>
      </c>
      <c r="R5" s="8"/>
    </row>
    <row r="6" spans="1:18" ht="16.5" x14ac:dyDescent="0.3">
      <c r="A6" s="14"/>
      <c r="G6" s="1"/>
      <c r="H6" s="26"/>
      <c r="I6" s="25"/>
      <c r="J6" s="1"/>
      <c r="K6" s="1"/>
      <c r="L6" s="25"/>
      <c r="M6" s="25"/>
      <c r="N6" s="1"/>
      <c r="O6" s="1"/>
      <c r="P6" s="1"/>
      <c r="Q6" s="7" t="s">
        <v>17</v>
      </c>
      <c r="R6" s="8"/>
    </row>
    <row r="7" spans="1:18" ht="16.5" x14ac:dyDescent="0.3">
      <c r="A7" s="14"/>
      <c r="B7" s="16"/>
      <c r="C7" s="16"/>
      <c r="D7" s="16"/>
      <c r="E7" s="16"/>
      <c r="F7" s="16"/>
      <c r="G7" s="1"/>
      <c r="H7" s="26"/>
      <c r="I7" s="25"/>
      <c r="J7" s="1"/>
      <c r="K7" s="1"/>
      <c r="L7" s="25"/>
      <c r="M7" s="25"/>
      <c r="N7" s="1"/>
      <c r="O7" s="1"/>
      <c r="P7" s="1"/>
      <c r="Q7" s="30" t="s">
        <v>18</v>
      </c>
      <c r="R7" s="9"/>
    </row>
    <row r="8" spans="1:18" ht="16.5" x14ac:dyDescent="0.3">
      <c r="A8" s="14"/>
      <c r="B8" s="16"/>
      <c r="C8" s="16"/>
      <c r="D8" s="16"/>
      <c r="E8" s="16"/>
      <c r="F8" s="16"/>
      <c r="G8" s="1"/>
      <c r="H8" s="26"/>
      <c r="I8" s="25"/>
      <c r="J8" s="1"/>
      <c r="K8" s="1"/>
      <c r="L8" s="25"/>
      <c r="M8" s="25"/>
      <c r="N8" s="1"/>
      <c r="O8" s="1"/>
      <c r="P8" s="1"/>
      <c r="Q8" s="30" t="s">
        <v>19</v>
      </c>
      <c r="R8" s="9"/>
    </row>
    <row r="9" spans="1:18" ht="16.5" x14ac:dyDescent="0.3">
      <c r="A9" s="14"/>
      <c r="B9" s="16"/>
      <c r="C9" s="16"/>
      <c r="D9" s="16"/>
      <c r="E9" s="16"/>
      <c r="F9" s="16"/>
      <c r="G9" s="1"/>
      <c r="H9" s="26"/>
      <c r="I9" s="25"/>
      <c r="J9" s="1"/>
      <c r="K9" s="1"/>
      <c r="L9" s="25"/>
      <c r="M9" s="25"/>
      <c r="N9" s="1"/>
      <c r="O9" s="1"/>
      <c r="P9" s="1"/>
      <c r="Q9" s="1"/>
      <c r="R9" s="1"/>
    </row>
    <row r="10" spans="1:18" ht="16.5" x14ac:dyDescent="0.3">
      <c r="A10" s="14"/>
      <c r="B10" s="16"/>
      <c r="C10" s="16"/>
      <c r="D10" s="16"/>
      <c r="E10" s="16"/>
      <c r="F10" s="16"/>
      <c r="G10" s="1"/>
      <c r="H10" s="26"/>
      <c r="I10" s="25"/>
      <c r="J10" s="1"/>
      <c r="K10" s="1"/>
      <c r="L10" s="25"/>
      <c r="M10" s="25"/>
      <c r="N10" s="1"/>
      <c r="O10" s="1"/>
      <c r="P10" s="1"/>
      <c r="Q10" s="1"/>
      <c r="R10" s="1"/>
    </row>
    <row r="11" spans="1:18" ht="16.5" x14ac:dyDescent="0.3">
      <c r="A11" s="14"/>
      <c r="B11" s="16"/>
      <c r="C11" s="16"/>
      <c r="D11" s="16"/>
      <c r="E11" s="16"/>
      <c r="F11" s="16"/>
      <c r="G11" s="1"/>
      <c r="H11" s="26"/>
      <c r="I11" s="25"/>
      <c r="J11" s="1"/>
      <c r="K11" s="1"/>
      <c r="L11" s="25"/>
      <c r="M11" s="25"/>
      <c r="N11" s="1"/>
      <c r="O11" s="1"/>
      <c r="P11" s="1"/>
      <c r="Q11" s="1"/>
      <c r="R11" s="1"/>
    </row>
    <row r="12" spans="1:18" ht="16.5" x14ac:dyDescent="0.3">
      <c r="A12" s="14"/>
      <c r="B12" s="16"/>
      <c r="C12" s="16"/>
      <c r="D12" s="16"/>
      <c r="E12" s="16"/>
      <c r="F12" s="16"/>
      <c r="G12" s="1"/>
      <c r="H12" s="26"/>
      <c r="I12" s="25"/>
      <c r="J12" s="1"/>
      <c r="K12" s="1"/>
      <c r="L12" s="25"/>
      <c r="M12" s="25"/>
      <c r="N12" s="1"/>
      <c r="O12" s="1"/>
      <c r="P12" s="1"/>
      <c r="Q12" s="1"/>
      <c r="R12" s="1"/>
    </row>
    <row r="13" spans="1:18" ht="16.5" x14ac:dyDescent="0.3">
      <c r="A13" s="14"/>
      <c r="B13" s="16"/>
      <c r="C13" s="16"/>
      <c r="D13" s="16"/>
      <c r="E13" s="16"/>
      <c r="F13" s="16"/>
      <c r="G13" s="1"/>
      <c r="H13" s="26"/>
      <c r="I13" s="25"/>
      <c r="J13" s="1"/>
      <c r="K13" s="1"/>
      <c r="L13" s="25"/>
      <c r="M13" s="25"/>
      <c r="N13" s="1"/>
      <c r="O13" s="1"/>
      <c r="P13" s="1"/>
      <c r="Q13" s="1"/>
      <c r="R13" s="1"/>
    </row>
    <row r="14" spans="1:18" ht="16.5" x14ac:dyDescent="0.3">
      <c r="A14" s="14"/>
      <c r="B14" s="16"/>
      <c r="C14" s="16"/>
      <c r="D14" s="16"/>
      <c r="E14" s="16"/>
      <c r="F14" s="16"/>
      <c r="G14" s="1"/>
      <c r="H14" s="26"/>
      <c r="I14" s="25"/>
      <c r="J14" s="1"/>
      <c r="K14" s="1"/>
      <c r="L14" s="25"/>
      <c r="M14" s="25"/>
      <c r="N14" s="1"/>
      <c r="O14" s="1"/>
      <c r="P14" s="1"/>
      <c r="Q14" s="1"/>
      <c r="R14" s="1"/>
    </row>
    <row r="15" spans="1:18" ht="16.5" x14ac:dyDescent="0.3">
      <c r="A15" s="14"/>
      <c r="B15" s="16"/>
      <c r="C15" s="16"/>
      <c r="D15" s="16"/>
      <c r="E15" s="16"/>
      <c r="F15" s="16"/>
      <c r="G15" s="1"/>
      <c r="H15" s="26"/>
      <c r="I15" s="25"/>
      <c r="J15" s="1"/>
      <c r="K15" s="1"/>
      <c r="L15" s="25"/>
      <c r="M15" s="25"/>
      <c r="N15" s="1"/>
      <c r="O15" s="1"/>
      <c r="P15" s="1"/>
      <c r="Q15" s="1"/>
      <c r="R15" s="1"/>
    </row>
    <row r="16" spans="1:18" ht="16.5" x14ac:dyDescent="0.3">
      <c r="A16" s="14"/>
      <c r="B16" s="16"/>
      <c r="C16" s="16"/>
      <c r="D16" s="16"/>
      <c r="E16" s="16"/>
      <c r="F16" s="16"/>
      <c r="G16" s="1"/>
      <c r="H16" s="26"/>
      <c r="I16" s="25"/>
      <c r="J16" s="1"/>
      <c r="K16" s="1"/>
      <c r="L16" s="25"/>
      <c r="M16" s="25"/>
      <c r="N16" s="1"/>
      <c r="O16" s="1"/>
      <c r="P16" s="1"/>
      <c r="Q16" s="1"/>
      <c r="R16" s="1"/>
    </row>
    <row r="17" spans="1:18" ht="16.5" x14ac:dyDescent="0.3">
      <c r="A17" s="14"/>
      <c r="B17" s="16"/>
      <c r="C17" s="16"/>
      <c r="D17" s="16"/>
      <c r="E17" s="16"/>
      <c r="F17" s="16"/>
      <c r="G17" s="1"/>
      <c r="H17" s="26"/>
      <c r="I17" s="25"/>
      <c r="J17" s="1"/>
      <c r="K17" s="1"/>
      <c r="L17" s="25"/>
      <c r="M17" s="25"/>
      <c r="N17" s="1"/>
      <c r="O17" s="1"/>
      <c r="P17" s="1"/>
      <c r="Q17" s="1"/>
      <c r="R17" s="1"/>
    </row>
    <row r="18" spans="1:18" ht="16.5" x14ac:dyDescent="0.3">
      <c r="A18" s="14"/>
      <c r="B18" s="16"/>
      <c r="C18" s="16"/>
      <c r="D18" s="16"/>
      <c r="E18" s="16"/>
      <c r="F18" s="16"/>
      <c r="G18" s="1"/>
      <c r="H18" s="26"/>
      <c r="I18" s="25"/>
      <c r="J18" s="1"/>
      <c r="K18" s="1"/>
      <c r="L18" s="25"/>
      <c r="M18" s="25"/>
      <c r="N18" s="1"/>
      <c r="O18" s="1"/>
      <c r="P18" s="1"/>
      <c r="Q18" s="1"/>
      <c r="R18" s="1"/>
    </row>
    <row r="19" spans="1:18" ht="16.5" x14ac:dyDescent="0.3">
      <c r="A19" s="14"/>
      <c r="B19" s="16"/>
      <c r="C19" s="16"/>
      <c r="D19" s="16"/>
      <c r="E19" s="16"/>
      <c r="F19" s="16"/>
      <c r="G19" s="1"/>
      <c r="H19" s="26"/>
      <c r="I19" s="25"/>
      <c r="J19" s="1"/>
      <c r="K19" s="1"/>
      <c r="L19" s="25"/>
      <c r="M19" s="25"/>
      <c r="N19" s="1"/>
      <c r="O19" s="1"/>
      <c r="P19" s="1"/>
      <c r="Q19" s="1"/>
      <c r="R19" s="1"/>
    </row>
    <row r="20" spans="1:18" ht="16.5" x14ac:dyDescent="0.3">
      <c r="A20" s="14"/>
      <c r="B20" s="16"/>
      <c r="C20" s="16"/>
      <c r="D20" s="16"/>
      <c r="E20" s="16"/>
      <c r="F20" s="16"/>
      <c r="G20" s="1"/>
      <c r="H20" s="26"/>
      <c r="I20" s="25"/>
      <c r="J20" s="1"/>
      <c r="K20" s="1"/>
      <c r="L20" s="25"/>
      <c r="M20" s="25"/>
      <c r="N20" s="1"/>
      <c r="O20" s="1"/>
      <c r="P20" s="1"/>
      <c r="Q20" s="1"/>
      <c r="R20" s="1"/>
    </row>
    <row r="21" spans="1:18" ht="16.5" x14ac:dyDescent="0.3">
      <c r="A21" s="14"/>
      <c r="B21" s="16"/>
      <c r="C21" s="16"/>
      <c r="D21" s="16"/>
      <c r="E21" s="16"/>
      <c r="F21" s="16"/>
      <c r="G21" s="1"/>
      <c r="H21" s="26"/>
      <c r="I21" s="25"/>
      <c r="J21" s="1"/>
      <c r="K21" s="1"/>
      <c r="L21" s="25"/>
      <c r="M21" s="25"/>
      <c r="N21" s="1"/>
      <c r="O21" s="1"/>
      <c r="P21" s="1"/>
      <c r="Q21" s="1"/>
      <c r="R21" s="1"/>
    </row>
    <row r="22" spans="1:18" ht="16.5" x14ac:dyDescent="0.3">
      <c r="A22" s="14"/>
      <c r="B22" s="16"/>
      <c r="C22" s="16"/>
      <c r="D22" s="16"/>
      <c r="E22" s="16"/>
      <c r="F22" s="16"/>
      <c r="G22" s="1"/>
      <c r="H22" s="26"/>
      <c r="I22" s="25"/>
      <c r="J22" s="1"/>
      <c r="K22" s="1"/>
      <c r="L22" s="25"/>
      <c r="M22" s="25"/>
      <c r="N22" s="1"/>
      <c r="O22" s="1"/>
      <c r="P22" s="1"/>
      <c r="Q22" s="1"/>
      <c r="R22" s="1"/>
    </row>
    <row r="23" spans="1:18" ht="16.5" x14ac:dyDescent="0.3">
      <c r="A23" s="14"/>
      <c r="B23" s="16"/>
      <c r="C23" s="16"/>
      <c r="D23" s="16"/>
      <c r="E23" s="16"/>
      <c r="F23" s="16"/>
      <c r="G23" s="1"/>
      <c r="H23" s="26"/>
      <c r="I23" s="25"/>
      <c r="J23" s="1"/>
      <c r="K23" s="1"/>
      <c r="L23" s="25"/>
      <c r="M23" s="25"/>
      <c r="N23" s="1"/>
      <c r="O23" s="1"/>
      <c r="P23" s="1"/>
      <c r="Q23" s="1"/>
      <c r="R23" s="1"/>
    </row>
    <row r="24" spans="1:18" ht="16.5" x14ac:dyDescent="0.3">
      <c r="A24" s="14"/>
      <c r="B24" s="16"/>
      <c r="C24" s="16"/>
      <c r="D24" s="16"/>
      <c r="E24" s="16"/>
      <c r="F24" s="16"/>
      <c r="G24" s="1"/>
      <c r="H24" s="26"/>
      <c r="I24" s="25"/>
      <c r="J24" s="1"/>
      <c r="K24" s="1"/>
      <c r="L24" s="25"/>
      <c r="M24" s="25"/>
      <c r="N24" s="1"/>
      <c r="O24" s="1"/>
      <c r="P24" s="1"/>
      <c r="Q24" s="1"/>
      <c r="R24" s="1"/>
    </row>
    <row r="25" spans="1:18" ht="16.5" x14ac:dyDescent="0.3">
      <c r="A25" s="14"/>
      <c r="B25" s="16"/>
      <c r="C25" s="16"/>
      <c r="D25" s="16"/>
      <c r="E25" s="16"/>
      <c r="F25" s="16"/>
      <c r="G25" s="1"/>
      <c r="H25" s="26"/>
      <c r="I25" s="25"/>
      <c r="J25" s="1"/>
      <c r="K25" s="1"/>
      <c r="L25" s="25"/>
      <c r="M25" s="25"/>
      <c r="N25" s="1"/>
      <c r="O25" s="1"/>
      <c r="P25" s="1"/>
      <c r="Q25" s="1"/>
      <c r="R25" s="1"/>
    </row>
    <row r="26" spans="1:18" ht="16.5" x14ac:dyDescent="0.3">
      <c r="A26" s="14"/>
      <c r="B26" s="16"/>
      <c r="C26" s="16"/>
      <c r="D26" s="16"/>
      <c r="E26" s="16"/>
      <c r="F26" s="16"/>
      <c r="G26" s="1"/>
      <c r="H26" s="26"/>
      <c r="I26" s="25"/>
      <c r="J26" s="1"/>
      <c r="K26" s="1"/>
      <c r="L26" s="25"/>
      <c r="M26" s="25"/>
      <c r="N26" s="1"/>
      <c r="O26" s="1"/>
      <c r="P26" s="1"/>
      <c r="Q26" s="1"/>
      <c r="R26" s="1"/>
    </row>
    <row r="27" spans="1:18" ht="16.5" x14ac:dyDescent="0.3">
      <c r="A27" s="14"/>
      <c r="B27" s="16"/>
      <c r="C27" s="16"/>
      <c r="D27" s="16"/>
      <c r="E27" s="16"/>
      <c r="F27" s="16"/>
      <c r="G27" s="1"/>
      <c r="H27" s="26"/>
      <c r="I27" s="25"/>
      <c r="J27" s="1"/>
      <c r="K27" s="1"/>
      <c r="L27" s="25"/>
      <c r="M27" s="25"/>
      <c r="N27" s="1"/>
      <c r="O27" s="1"/>
      <c r="P27" s="1"/>
      <c r="Q27" s="1"/>
      <c r="R27" s="1"/>
    </row>
    <row r="28" spans="1:18" ht="16.5" x14ac:dyDescent="0.3">
      <c r="A28" s="14"/>
      <c r="B28" s="16"/>
      <c r="C28" s="16"/>
      <c r="D28" s="16"/>
      <c r="E28" s="16"/>
      <c r="F28" s="16"/>
      <c r="G28" s="1"/>
      <c r="H28" s="26"/>
      <c r="I28" s="25"/>
      <c r="J28" s="1"/>
      <c r="K28" s="1"/>
      <c r="L28" s="25"/>
      <c r="M28" s="25"/>
      <c r="N28" s="1"/>
      <c r="O28" s="1"/>
      <c r="P28" s="1"/>
      <c r="Q28" s="1"/>
      <c r="R28" s="1"/>
    </row>
    <row r="29" spans="1:18" ht="16.5" x14ac:dyDescent="0.3">
      <c r="A29" s="14"/>
      <c r="B29" s="16"/>
      <c r="C29" s="16"/>
      <c r="D29" s="16"/>
      <c r="E29" s="16"/>
      <c r="F29" s="16"/>
      <c r="G29" s="1"/>
      <c r="H29" s="26"/>
      <c r="I29" s="25"/>
      <c r="J29" s="1"/>
      <c r="K29" s="1"/>
      <c r="L29" s="25"/>
      <c r="M29" s="25"/>
      <c r="N29" s="1"/>
      <c r="O29" s="1"/>
      <c r="P29" s="1"/>
      <c r="Q29" s="1"/>
      <c r="R29" s="1"/>
    </row>
    <row r="30" spans="1:18" ht="16.5" x14ac:dyDescent="0.3">
      <c r="A30" s="14"/>
      <c r="B30" s="16"/>
      <c r="C30" s="16"/>
      <c r="D30" s="16"/>
      <c r="E30" s="16"/>
      <c r="F30" s="16"/>
      <c r="G30" s="1"/>
      <c r="H30" s="26"/>
      <c r="I30" s="25"/>
      <c r="J30" s="1"/>
      <c r="K30" s="1"/>
      <c r="L30" s="25"/>
      <c r="M30" s="25"/>
      <c r="N30" s="1"/>
      <c r="O30" s="1"/>
      <c r="P30" s="1"/>
      <c r="Q30" s="1"/>
      <c r="R30" s="1"/>
    </row>
    <row r="31" spans="1:18" ht="16.5" x14ac:dyDescent="0.3">
      <c r="A31" s="14"/>
      <c r="B31" s="16"/>
      <c r="C31" s="16"/>
      <c r="D31" s="16"/>
      <c r="E31" s="16"/>
      <c r="F31" s="16"/>
      <c r="G31" s="1"/>
      <c r="H31" s="26"/>
      <c r="I31" s="25"/>
      <c r="J31" s="1"/>
      <c r="K31" s="1"/>
      <c r="L31" s="25"/>
      <c r="M31" s="25"/>
      <c r="N31" s="1"/>
      <c r="O31" s="1"/>
      <c r="P31" s="1"/>
      <c r="Q31" s="1"/>
      <c r="R31" s="1"/>
    </row>
    <row r="32" spans="1:18" ht="16.5" x14ac:dyDescent="0.3">
      <c r="A32" s="14"/>
      <c r="B32" s="16"/>
      <c r="C32" s="16"/>
      <c r="D32" s="16"/>
      <c r="E32" s="16"/>
      <c r="F32" s="16"/>
      <c r="G32" s="1"/>
      <c r="H32" s="26"/>
      <c r="I32" s="25"/>
      <c r="J32" s="1"/>
      <c r="K32" s="1"/>
      <c r="L32" s="25"/>
      <c r="M32" s="25"/>
      <c r="N32" s="1"/>
      <c r="O32" s="1"/>
      <c r="P32" s="1"/>
      <c r="Q32" s="1"/>
      <c r="R32" s="1"/>
    </row>
    <row r="33" spans="1:18" ht="16.5" x14ac:dyDescent="0.3">
      <c r="A33" s="14"/>
      <c r="B33" s="16"/>
      <c r="C33" s="16"/>
      <c r="D33" s="16"/>
      <c r="E33" s="16"/>
      <c r="F33" s="16"/>
      <c r="G33" s="1"/>
      <c r="H33" s="26"/>
      <c r="I33" s="25"/>
      <c r="J33" s="1"/>
      <c r="K33" s="1"/>
      <c r="L33" s="25"/>
      <c r="M33" s="25"/>
      <c r="N33" s="1"/>
      <c r="O33" s="1"/>
      <c r="P33" s="1"/>
      <c r="Q33" s="1"/>
      <c r="R33" s="1"/>
    </row>
    <row r="34" spans="1:18" ht="16.5" x14ac:dyDescent="0.3">
      <c r="A34" s="14"/>
      <c r="B34" s="16"/>
      <c r="C34" s="16"/>
      <c r="D34" s="16"/>
      <c r="E34" s="16"/>
      <c r="F34" s="16"/>
      <c r="G34" s="1"/>
      <c r="H34" s="26"/>
      <c r="I34" s="25"/>
      <c r="J34" s="1"/>
      <c r="K34" s="1"/>
      <c r="L34" s="25"/>
      <c r="M34" s="25"/>
      <c r="N34" s="1"/>
      <c r="O34" s="1"/>
      <c r="P34" s="1"/>
      <c r="Q34" s="1"/>
      <c r="R34" s="1"/>
    </row>
    <row r="35" spans="1:18" ht="16.5" x14ac:dyDescent="0.3">
      <c r="A35" s="14"/>
      <c r="B35" s="16"/>
      <c r="C35" s="16"/>
      <c r="D35" s="16"/>
      <c r="E35" s="16"/>
      <c r="F35" s="16"/>
      <c r="G35" s="1"/>
      <c r="H35" s="26"/>
      <c r="I35" s="25"/>
      <c r="J35" s="1"/>
      <c r="K35" s="1"/>
      <c r="L35" s="25"/>
      <c r="M35" s="25"/>
      <c r="N35" s="1"/>
      <c r="O35" s="1"/>
      <c r="P35" s="1"/>
      <c r="Q35" s="1"/>
      <c r="R35" s="1"/>
    </row>
    <row r="36" spans="1:18" ht="16.5" x14ac:dyDescent="0.3">
      <c r="A36" s="14"/>
      <c r="B36" s="16"/>
      <c r="C36" s="16"/>
      <c r="D36" s="16"/>
      <c r="E36" s="16"/>
      <c r="F36" s="16"/>
      <c r="G36" s="1"/>
      <c r="H36" s="26"/>
      <c r="I36" s="25"/>
      <c r="J36" s="1"/>
      <c r="K36" s="1"/>
      <c r="L36" s="25"/>
      <c r="M36" s="25"/>
      <c r="N36" s="1"/>
      <c r="O36" s="1"/>
      <c r="P36" s="1"/>
      <c r="Q36" s="1"/>
      <c r="R36" s="1"/>
    </row>
    <row r="37" spans="1:18" ht="16.5" x14ac:dyDescent="0.3">
      <c r="A37" s="14"/>
      <c r="B37" s="16"/>
      <c r="C37" s="16"/>
      <c r="D37" s="16"/>
      <c r="E37" s="16"/>
      <c r="F37" s="16"/>
      <c r="G37" s="1"/>
      <c r="H37" s="26"/>
      <c r="I37" s="25"/>
      <c r="J37" s="1"/>
      <c r="K37" s="1"/>
      <c r="L37" s="25"/>
      <c r="M37" s="25"/>
      <c r="N37" s="1"/>
      <c r="O37" s="1"/>
      <c r="P37" s="1"/>
      <c r="Q37" s="1"/>
      <c r="R37" s="1"/>
    </row>
    <row r="38" spans="1:18" ht="16.5" x14ac:dyDescent="0.3">
      <c r="A38" s="14"/>
      <c r="B38" s="16"/>
      <c r="C38" s="16"/>
      <c r="D38" s="16"/>
      <c r="E38" s="16"/>
      <c r="F38" s="16"/>
      <c r="G38" s="1"/>
      <c r="H38" s="26"/>
      <c r="I38" s="25"/>
      <c r="J38" s="1"/>
      <c r="K38" s="1"/>
      <c r="L38" s="25"/>
      <c r="M38" s="25"/>
      <c r="N38" s="1"/>
      <c r="O38" s="1"/>
      <c r="P38" s="1"/>
      <c r="Q38" s="1"/>
      <c r="R38" s="1"/>
    </row>
    <row r="39" spans="1:18" ht="16.5" x14ac:dyDescent="0.3">
      <c r="A39" s="14"/>
      <c r="B39" s="16"/>
      <c r="C39" s="16"/>
      <c r="D39" s="16"/>
      <c r="E39" s="16"/>
      <c r="F39" s="16"/>
      <c r="G39" s="1"/>
      <c r="H39" s="26"/>
      <c r="I39" s="25"/>
      <c r="J39" s="1"/>
      <c r="K39" s="1"/>
      <c r="L39" s="25"/>
      <c r="M39" s="25"/>
      <c r="N39" s="1"/>
      <c r="O39" s="1"/>
      <c r="P39" s="1"/>
      <c r="Q39" s="1"/>
      <c r="R39" s="1"/>
    </row>
    <row r="40" spans="1:18" ht="16.5" x14ac:dyDescent="0.3">
      <c r="A40" s="14"/>
      <c r="B40" s="16"/>
      <c r="C40" s="16"/>
      <c r="D40" s="16"/>
      <c r="E40" s="16"/>
      <c r="F40" s="16"/>
      <c r="G40" s="1"/>
      <c r="H40" s="26"/>
      <c r="I40" s="25"/>
      <c r="J40" s="1"/>
      <c r="K40" s="1"/>
      <c r="L40" s="25"/>
      <c r="M40" s="25"/>
      <c r="N40" s="1"/>
      <c r="O40" s="1"/>
      <c r="P40" s="1"/>
      <c r="Q40" s="1"/>
      <c r="R40" s="1"/>
    </row>
    <row r="41" spans="1:18" ht="16.5" x14ac:dyDescent="0.3">
      <c r="A41" s="14"/>
      <c r="B41" s="16"/>
      <c r="C41" s="16"/>
      <c r="D41" s="16"/>
      <c r="E41" s="16"/>
      <c r="F41" s="16"/>
      <c r="G41" s="1"/>
      <c r="H41" s="26"/>
      <c r="I41" s="25"/>
      <c r="J41" s="1"/>
      <c r="K41" s="1"/>
      <c r="L41" s="25"/>
      <c r="M41" s="25"/>
      <c r="N41" s="1"/>
      <c r="O41" s="1"/>
      <c r="P41" s="1"/>
      <c r="Q41" s="1"/>
      <c r="R41" s="1"/>
    </row>
    <row r="42" spans="1:18" ht="16.5" x14ac:dyDescent="0.3">
      <c r="A42" s="14"/>
      <c r="B42" s="16"/>
      <c r="C42" s="16"/>
      <c r="D42" s="16"/>
      <c r="E42" s="16"/>
      <c r="F42" s="16"/>
      <c r="G42" s="1"/>
      <c r="H42" s="26"/>
      <c r="I42" s="25"/>
      <c r="J42" s="1"/>
      <c r="K42" s="1"/>
      <c r="L42" s="25"/>
      <c r="M42" s="25"/>
      <c r="N42" s="1"/>
      <c r="O42" s="1"/>
      <c r="P42" s="1"/>
      <c r="Q42" s="1"/>
      <c r="R42" s="1"/>
    </row>
    <row r="43" spans="1:18" ht="16.5" x14ac:dyDescent="0.3">
      <c r="A43" s="14"/>
      <c r="B43" s="16"/>
      <c r="C43" s="16"/>
      <c r="D43" s="16"/>
      <c r="E43" s="16"/>
      <c r="F43" s="16"/>
      <c r="G43" s="1"/>
      <c r="H43" s="26"/>
      <c r="I43" s="25"/>
      <c r="J43" s="1"/>
      <c r="K43" s="1"/>
      <c r="L43" s="25"/>
      <c r="M43" s="25"/>
      <c r="N43" s="1"/>
      <c r="O43" s="1"/>
      <c r="P43" s="1"/>
      <c r="Q43" s="1"/>
      <c r="R43" s="1"/>
    </row>
    <row r="44" spans="1:18" ht="16.5" x14ac:dyDescent="0.3">
      <c r="A44" s="14"/>
      <c r="B44" s="16"/>
      <c r="C44" s="16"/>
      <c r="D44" s="16"/>
      <c r="E44" s="16"/>
      <c r="F44" s="16"/>
      <c r="G44" s="1"/>
      <c r="H44" s="26"/>
      <c r="I44" s="25"/>
      <c r="J44" s="1"/>
      <c r="K44" s="1"/>
      <c r="L44" s="25"/>
      <c r="M44" s="25"/>
      <c r="N44" s="1"/>
      <c r="O44" s="1"/>
      <c r="P44" s="1"/>
      <c r="Q44" s="1"/>
      <c r="R44" s="1"/>
    </row>
    <row r="45" spans="1:18" ht="16.5" x14ac:dyDescent="0.3">
      <c r="A45" s="14"/>
      <c r="B45" s="16"/>
      <c r="C45" s="16"/>
      <c r="D45" s="16"/>
      <c r="E45" s="16"/>
      <c r="F45" s="16"/>
      <c r="G45" s="1"/>
      <c r="H45" s="26"/>
      <c r="I45" s="25"/>
      <c r="J45" s="1"/>
      <c r="K45" s="1"/>
      <c r="L45" s="25"/>
      <c r="M45" s="25"/>
      <c r="N45" s="1"/>
      <c r="O45" s="1"/>
      <c r="P45" s="1"/>
      <c r="Q45" s="1"/>
      <c r="R45" s="1"/>
    </row>
    <row r="46" spans="1:18" ht="16.5" x14ac:dyDescent="0.3">
      <c r="A46" s="14"/>
      <c r="B46" s="16"/>
      <c r="C46" s="16"/>
      <c r="D46" s="16"/>
      <c r="E46" s="16"/>
      <c r="F46" s="16"/>
      <c r="G46" s="1"/>
      <c r="H46" s="26"/>
      <c r="I46" s="25"/>
      <c r="J46" s="1"/>
      <c r="K46" s="1"/>
      <c r="L46" s="25"/>
      <c r="M46" s="25"/>
      <c r="N46" s="1"/>
      <c r="O46" s="1"/>
      <c r="P46" s="1"/>
      <c r="Q46" s="1"/>
      <c r="R46" s="1"/>
    </row>
    <row r="47" spans="1:18" ht="16.5" x14ac:dyDescent="0.3">
      <c r="A47" s="14"/>
      <c r="B47" s="16"/>
      <c r="C47" s="16"/>
      <c r="D47" s="16"/>
      <c r="E47" s="16"/>
      <c r="F47" s="16"/>
      <c r="G47" s="1"/>
      <c r="H47" s="26"/>
      <c r="I47" s="25"/>
      <c r="J47" s="1"/>
      <c r="K47" s="1"/>
      <c r="L47" s="25"/>
      <c r="M47" s="25"/>
      <c r="N47" s="1"/>
      <c r="O47" s="1"/>
      <c r="P47" s="1"/>
      <c r="Q47" s="1"/>
      <c r="R47" s="1"/>
    </row>
    <row r="48" spans="1:18" ht="16.5" x14ac:dyDescent="0.3">
      <c r="A48" s="14"/>
      <c r="B48" s="16"/>
      <c r="C48" s="16"/>
      <c r="D48" s="16"/>
      <c r="E48" s="16"/>
      <c r="F48" s="16"/>
      <c r="G48" s="1"/>
      <c r="H48" s="26"/>
      <c r="I48" s="25"/>
      <c r="J48" s="1"/>
      <c r="K48" s="1"/>
      <c r="L48" s="25"/>
      <c r="M48" s="25"/>
      <c r="N48" s="1"/>
      <c r="O48" s="1"/>
      <c r="P48" s="1"/>
      <c r="Q48" s="1"/>
      <c r="R48" s="1"/>
    </row>
    <row r="49" spans="1:18" ht="16.5" x14ac:dyDescent="0.3">
      <c r="A49" s="14"/>
      <c r="B49" s="16"/>
      <c r="C49" s="16"/>
      <c r="D49" s="16"/>
      <c r="E49" s="16"/>
      <c r="F49" s="16"/>
      <c r="G49" s="1"/>
      <c r="H49" s="26"/>
      <c r="I49" s="25"/>
      <c r="J49" s="1"/>
      <c r="K49" s="1"/>
      <c r="L49" s="25"/>
      <c r="M49" s="25"/>
      <c r="N49" s="1"/>
      <c r="O49" s="1"/>
      <c r="P49" s="1"/>
      <c r="Q49" s="1"/>
      <c r="R49" s="1"/>
    </row>
    <row r="50" spans="1:18" ht="16.5" x14ac:dyDescent="0.3">
      <c r="A50" s="14"/>
      <c r="B50" s="16"/>
      <c r="C50" s="16"/>
      <c r="D50" s="16"/>
      <c r="E50" s="16"/>
      <c r="F50" s="16"/>
      <c r="G50" s="1"/>
      <c r="H50" s="26"/>
      <c r="I50" s="25"/>
      <c r="J50" s="1"/>
      <c r="K50" s="1"/>
      <c r="L50" s="25"/>
      <c r="M50" s="25"/>
      <c r="N50" s="1"/>
      <c r="O50" s="1"/>
      <c r="P50" s="1"/>
      <c r="Q50" s="1"/>
      <c r="R50" s="1"/>
    </row>
    <row r="51" spans="1:18" ht="16.5" x14ac:dyDescent="0.3">
      <c r="A51" s="14"/>
      <c r="B51" s="16"/>
      <c r="C51" s="16"/>
      <c r="D51" s="16"/>
      <c r="E51" s="16"/>
      <c r="F51" s="16"/>
      <c r="G51" s="1"/>
      <c r="H51" s="26"/>
      <c r="I51" s="25"/>
      <c r="J51" s="1"/>
      <c r="K51" s="1"/>
      <c r="L51" s="25"/>
      <c r="M51" s="25"/>
      <c r="N51" s="1"/>
      <c r="O51" s="1"/>
      <c r="P51" s="1"/>
      <c r="Q51" s="1"/>
      <c r="R51" s="1"/>
    </row>
    <row r="52" spans="1:18" ht="16.5" x14ac:dyDescent="0.3">
      <c r="A52" s="14"/>
      <c r="B52" s="16"/>
      <c r="C52" s="16"/>
      <c r="D52" s="16"/>
      <c r="E52" s="16"/>
      <c r="F52" s="16"/>
      <c r="G52" s="1"/>
      <c r="H52" s="26"/>
      <c r="I52" s="25"/>
      <c r="J52" s="1"/>
      <c r="K52" s="1"/>
      <c r="L52" s="25"/>
      <c r="M52" s="25"/>
      <c r="N52" s="1"/>
      <c r="O52" s="1"/>
      <c r="P52" s="1"/>
      <c r="Q52" s="1"/>
      <c r="R52" s="1"/>
    </row>
    <row r="53" spans="1:18" ht="16.5" x14ac:dyDescent="0.3">
      <c r="A53" s="14"/>
      <c r="B53" s="16"/>
      <c r="C53" s="16"/>
      <c r="D53" s="16"/>
      <c r="E53" s="16"/>
      <c r="F53" s="16"/>
      <c r="G53" s="1"/>
      <c r="H53" s="26"/>
      <c r="I53" s="25"/>
      <c r="J53" s="1"/>
      <c r="K53" s="1"/>
      <c r="L53" s="25"/>
      <c r="M53" s="25"/>
      <c r="N53" s="1"/>
      <c r="O53" s="1"/>
      <c r="P53" s="1"/>
      <c r="Q53" s="1"/>
      <c r="R53" s="1"/>
    </row>
    <row r="54" spans="1:18" ht="16.5" x14ac:dyDescent="0.3">
      <c r="A54" s="14"/>
      <c r="B54" s="16"/>
      <c r="C54" s="16"/>
      <c r="D54" s="16"/>
      <c r="E54" s="16"/>
      <c r="F54" s="16"/>
      <c r="G54" s="1"/>
      <c r="H54" s="26"/>
      <c r="I54" s="25"/>
      <c r="J54" s="1"/>
      <c r="K54" s="1"/>
      <c r="L54" s="25"/>
      <c r="M54" s="25"/>
      <c r="N54" s="1"/>
      <c r="O54" s="1"/>
      <c r="P54" s="1"/>
      <c r="Q54" s="1"/>
      <c r="R54" s="1"/>
    </row>
    <row r="55" spans="1:18" ht="16.5" x14ac:dyDescent="0.3">
      <c r="A55" s="14"/>
      <c r="B55" s="16"/>
      <c r="C55" s="16"/>
      <c r="D55" s="16"/>
      <c r="E55" s="16"/>
      <c r="F55" s="16"/>
      <c r="G55" s="1"/>
      <c r="H55" s="26"/>
      <c r="I55" s="25"/>
      <c r="J55" s="1"/>
      <c r="K55" s="1"/>
      <c r="L55" s="25"/>
      <c r="M55" s="25"/>
      <c r="N55" s="1"/>
      <c r="O55" s="1"/>
      <c r="P55" s="1"/>
      <c r="Q55" s="1"/>
      <c r="R55" s="1"/>
    </row>
    <row r="56" spans="1:18" ht="16.5" x14ac:dyDescent="0.3">
      <c r="A56" s="14"/>
      <c r="B56" s="16"/>
      <c r="C56" s="16"/>
      <c r="D56" s="16"/>
      <c r="E56" s="16"/>
      <c r="F56" s="16"/>
      <c r="G56" s="1"/>
      <c r="H56" s="26"/>
      <c r="I56" s="25"/>
      <c r="J56" s="1"/>
      <c r="K56" s="1"/>
      <c r="L56" s="25"/>
      <c r="M56" s="25"/>
      <c r="N56" s="1"/>
      <c r="O56" s="1"/>
      <c r="P56" s="1"/>
      <c r="Q56" s="1"/>
      <c r="R56" s="1"/>
    </row>
    <row r="57" spans="1:18" ht="16.5" x14ac:dyDescent="0.3">
      <c r="A57" s="14"/>
      <c r="B57" s="16"/>
      <c r="C57" s="16"/>
      <c r="D57" s="16"/>
      <c r="E57" s="16"/>
      <c r="F57" s="16"/>
      <c r="G57" s="1"/>
      <c r="H57" s="26"/>
      <c r="I57" s="25"/>
      <c r="J57" s="1"/>
      <c r="K57" s="1"/>
      <c r="L57" s="25"/>
      <c r="M57" s="25"/>
      <c r="N57" s="1"/>
      <c r="O57" s="1"/>
      <c r="P57" s="1"/>
      <c r="Q57" s="1"/>
      <c r="R57" s="1"/>
    </row>
    <row r="58" spans="1:18" ht="16.5" x14ac:dyDescent="0.3">
      <c r="A58" s="14"/>
      <c r="B58" s="16"/>
      <c r="C58" s="16"/>
      <c r="D58" s="16"/>
      <c r="E58" s="16"/>
      <c r="F58" s="16"/>
      <c r="G58" s="1"/>
      <c r="H58" s="26"/>
      <c r="I58" s="25"/>
      <c r="J58" s="1"/>
      <c r="K58" s="1"/>
      <c r="L58" s="25"/>
      <c r="M58" s="25"/>
      <c r="N58" s="1"/>
      <c r="O58" s="1"/>
      <c r="P58" s="1"/>
      <c r="Q58" s="1"/>
      <c r="R58" s="1"/>
    </row>
    <row r="59" spans="1:18" ht="16.5" x14ac:dyDescent="0.3">
      <c r="A59" s="14"/>
      <c r="B59" s="16"/>
      <c r="C59" s="16"/>
      <c r="D59" s="16"/>
      <c r="E59" s="16"/>
      <c r="F59" s="16"/>
      <c r="G59" s="1"/>
      <c r="H59" s="26"/>
      <c r="I59" s="25"/>
      <c r="J59" s="1"/>
      <c r="K59" s="1"/>
      <c r="L59" s="25"/>
      <c r="M59" s="25"/>
      <c r="N59" s="1"/>
      <c r="O59" s="1"/>
      <c r="P59" s="1"/>
      <c r="Q59" s="1"/>
      <c r="R59" s="1"/>
    </row>
    <row r="60" spans="1:18" ht="16.5" x14ac:dyDescent="0.3">
      <c r="A60" s="14"/>
      <c r="B60" s="16"/>
      <c r="C60" s="16"/>
      <c r="D60" s="16"/>
      <c r="E60" s="16"/>
      <c r="F60" s="16"/>
      <c r="G60" s="1"/>
      <c r="H60" s="26"/>
      <c r="I60" s="25"/>
      <c r="J60" s="1"/>
      <c r="K60" s="1"/>
      <c r="L60" s="25"/>
      <c r="M60" s="25"/>
      <c r="N60" s="1"/>
      <c r="O60" s="1"/>
      <c r="P60" s="1"/>
      <c r="Q60" s="1"/>
      <c r="R60" s="1"/>
    </row>
    <row r="61" spans="1:18" ht="16.5" x14ac:dyDescent="0.3">
      <c r="A61" s="14"/>
      <c r="B61" s="16"/>
      <c r="C61" s="16"/>
      <c r="D61" s="16"/>
      <c r="E61" s="16"/>
      <c r="F61" s="16"/>
      <c r="G61" s="1"/>
      <c r="H61" s="26"/>
      <c r="I61" s="25"/>
      <c r="J61" s="1"/>
      <c r="K61" s="1"/>
      <c r="L61" s="25"/>
      <c r="M61" s="25"/>
      <c r="N61" s="1"/>
      <c r="O61" s="1"/>
      <c r="P61" s="1"/>
      <c r="Q61" s="1"/>
      <c r="R61" s="1"/>
    </row>
    <row r="62" spans="1:18" ht="16.5" x14ac:dyDescent="0.3">
      <c r="A62" s="14"/>
      <c r="B62" s="16"/>
      <c r="C62" s="16"/>
      <c r="D62" s="16"/>
      <c r="E62" s="16"/>
      <c r="F62" s="16"/>
      <c r="G62" s="1"/>
      <c r="H62" s="26"/>
      <c r="I62" s="25"/>
      <c r="J62" s="1"/>
      <c r="K62" s="1"/>
      <c r="L62" s="25"/>
      <c r="M62" s="25"/>
      <c r="N62" s="1"/>
      <c r="O62" s="1"/>
      <c r="P62" s="1"/>
      <c r="Q62" s="1"/>
      <c r="R62" s="1"/>
    </row>
    <row r="63" spans="1:18" ht="16.5" x14ac:dyDescent="0.3">
      <c r="A63" s="14"/>
      <c r="B63" s="16"/>
      <c r="C63" s="16"/>
      <c r="D63" s="16"/>
      <c r="E63" s="16"/>
      <c r="F63" s="16"/>
      <c r="G63" s="1"/>
      <c r="H63" s="26"/>
      <c r="I63" s="25"/>
      <c r="J63" s="1"/>
      <c r="K63" s="1"/>
      <c r="L63" s="25"/>
      <c r="M63" s="25"/>
      <c r="N63" s="1"/>
      <c r="O63" s="1"/>
      <c r="P63" s="1"/>
      <c r="Q63" s="1"/>
      <c r="R63" s="1"/>
    </row>
    <row r="64" spans="1:18" ht="16.5" x14ac:dyDescent="0.3">
      <c r="A64" s="14"/>
      <c r="B64" s="16"/>
      <c r="C64" s="16"/>
      <c r="D64" s="16"/>
      <c r="E64" s="16"/>
      <c r="F64" s="16"/>
      <c r="G64" s="1"/>
      <c r="H64" s="26"/>
      <c r="I64" s="25"/>
      <c r="J64" s="1"/>
      <c r="K64" s="1"/>
      <c r="L64" s="25"/>
      <c r="M64" s="25"/>
      <c r="N64" s="1"/>
      <c r="O64" s="1"/>
      <c r="P64" s="1"/>
      <c r="Q64" s="1"/>
      <c r="R64" s="1"/>
    </row>
    <row r="65" spans="1:18" ht="16.5" x14ac:dyDescent="0.3">
      <c r="A65" s="14"/>
      <c r="B65" s="16"/>
      <c r="C65" s="16"/>
      <c r="D65" s="16"/>
      <c r="E65" s="16"/>
      <c r="F65" s="16"/>
      <c r="G65" s="1"/>
      <c r="H65" s="26"/>
      <c r="I65" s="25"/>
      <c r="J65" s="1"/>
      <c r="K65" s="1"/>
      <c r="L65" s="25"/>
      <c r="M65" s="25"/>
      <c r="N65" s="1"/>
      <c r="O65" s="1"/>
      <c r="P65" s="1"/>
      <c r="Q65" s="1"/>
      <c r="R65" s="1"/>
    </row>
    <row r="66" spans="1:18" ht="16.5" x14ac:dyDescent="0.3">
      <c r="A66" s="14"/>
      <c r="B66" s="16"/>
      <c r="C66" s="16"/>
      <c r="D66" s="16"/>
      <c r="E66" s="16"/>
      <c r="F66" s="16"/>
      <c r="G66" s="1"/>
      <c r="H66" s="26"/>
      <c r="I66" s="25"/>
      <c r="J66" s="1"/>
      <c r="K66" s="1"/>
      <c r="L66" s="25"/>
      <c r="M66" s="25"/>
      <c r="N66" s="1"/>
      <c r="O66" s="1"/>
      <c r="P66" s="1"/>
      <c r="Q66" s="1"/>
      <c r="R66" s="1"/>
    </row>
    <row r="67" spans="1:18" ht="16.5" x14ac:dyDescent="0.3">
      <c r="A67" s="14"/>
      <c r="B67" s="16"/>
      <c r="C67" s="16"/>
      <c r="D67" s="16"/>
      <c r="E67" s="16"/>
      <c r="F67" s="16"/>
      <c r="G67" s="1"/>
      <c r="H67" s="26"/>
      <c r="I67" s="25"/>
      <c r="J67" s="1"/>
      <c r="K67" s="1"/>
      <c r="L67" s="25"/>
      <c r="M67" s="25"/>
      <c r="N67" s="1"/>
      <c r="O67" s="1"/>
      <c r="P67" s="1"/>
      <c r="Q67" s="1"/>
      <c r="R67" s="1"/>
    </row>
    <row r="68" spans="1:18" ht="16.5" x14ac:dyDescent="0.3">
      <c r="A68" s="14"/>
      <c r="B68" s="16"/>
      <c r="C68" s="16"/>
      <c r="D68" s="16"/>
      <c r="E68" s="16"/>
      <c r="F68" s="16"/>
      <c r="G68" s="1"/>
      <c r="H68" s="26"/>
      <c r="I68" s="25"/>
      <c r="J68" s="1"/>
      <c r="K68" s="1"/>
      <c r="L68" s="25"/>
      <c r="M68" s="25"/>
      <c r="N68" s="1"/>
      <c r="O68" s="1"/>
      <c r="P68" s="1"/>
      <c r="Q68" s="1"/>
      <c r="R68" s="1"/>
    </row>
    <row r="69" spans="1:18" ht="16.5" x14ac:dyDescent="0.3">
      <c r="A69" s="14"/>
      <c r="B69" s="16"/>
      <c r="C69" s="16"/>
      <c r="D69" s="16"/>
      <c r="E69" s="16"/>
      <c r="F69" s="16"/>
      <c r="G69" s="1"/>
      <c r="H69" s="26"/>
      <c r="I69" s="25"/>
      <c r="J69" s="1"/>
      <c r="K69" s="1"/>
      <c r="L69" s="25"/>
      <c r="M69" s="25"/>
      <c r="N69" s="1"/>
      <c r="O69" s="1"/>
      <c r="P69" s="1"/>
      <c r="Q69" s="1"/>
      <c r="R69" s="1"/>
    </row>
    <row r="70" spans="1:18" ht="16.5" x14ac:dyDescent="0.3">
      <c r="A70" s="14"/>
      <c r="B70" s="16"/>
      <c r="C70" s="16"/>
      <c r="D70" s="16"/>
      <c r="E70" s="16"/>
      <c r="F70" s="16"/>
      <c r="G70" s="1"/>
      <c r="H70" s="26"/>
      <c r="I70" s="25"/>
      <c r="J70" s="1"/>
      <c r="K70" s="1"/>
      <c r="L70" s="25"/>
      <c r="M70" s="25"/>
      <c r="N70" s="1"/>
      <c r="O70" s="1"/>
      <c r="P70" s="1"/>
      <c r="Q70" s="1"/>
      <c r="R70" s="1"/>
    </row>
    <row r="71" spans="1:18" ht="16.5" x14ac:dyDescent="0.3">
      <c r="A71" s="14"/>
      <c r="B71" s="16"/>
      <c r="C71" s="16"/>
      <c r="D71" s="16"/>
      <c r="E71" s="16"/>
      <c r="F71" s="16"/>
      <c r="G71" s="1"/>
      <c r="H71" s="26"/>
      <c r="I71" s="25"/>
      <c r="J71" s="1"/>
      <c r="K71" s="1"/>
      <c r="L71" s="25"/>
      <c r="M71" s="25"/>
      <c r="N71" s="1"/>
      <c r="O71" s="1"/>
      <c r="P71" s="1"/>
      <c r="Q71" s="1"/>
      <c r="R71" s="1"/>
    </row>
    <row r="72" spans="1:18" ht="16.5" x14ac:dyDescent="0.3">
      <c r="A72" s="14"/>
      <c r="B72" s="16"/>
      <c r="C72" s="16"/>
      <c r="D72" s="16"/>
      <c r="E72" s="16"/>
      <c r="F72" s="16"/>
      <c r="G72" s="1"/>
      <c r="H72" s="26"/>
      <c r="I72" s="25"/>
      <c r="J72" s="1"/>
      <c r="K72" s="1"/>
      <c r="L72" s="25"/>
      <c r="M72" s="25"/>
      <c r="N72" s="1"/>
      <c r="O72" s="1"/>
      <c r="P72" s="1"/>
      <c r="Q72" s="1"/>
      <c r="R72" s="1"/>
    </row>
    <row r="73" spans="1:18" ht="16.5" x14ac:dyDescent="0.3">
      <c r="A73" s="14"/>
      <c r="B73" s="16"/>
      <c r="C73" s="16"/>
      <c r="D73" s="16"/>
      <c r="E73" s="16"/>
      <c r="F73" s="16"/>
      <c r="G73" s="1"/>
      <c r="H73" s="26"/>
      <c r="I73" s="25"/>
      <c r="J73" s="1"/>
      <c r="K73" s="1"/>
      <c r="L73" s="25"/>
      <c r="M73" s="25"/>
      <c r="N73" s="1"/>
      <c r="O73" s="1"/>
      <c r="P73" s="1"/>
      <c r="Q73" s="1"/>
      <c r="R73" s="1"/>
    </row>
    <row r="74" spans="1:18" ht="16.5" x14ac:dyDescent="0.3">
      <c r="A74" s="14"/>
      <c r="B74" s="16"/>
      <c r="C74" s="16"/>
      <c r="D74" s="16"/>
      <c r="E74" s="16"/>
      <c r="F74" s="16"/>
      <c r="G74" s="1"/>
      <c r="H74" s="26"/>
      <c r="I74" s="25"/>
      <c r="J74" s="1"/>
      <c r="K74" s="1"/>
      <c r="L74" s="25"/>
      <c r="M74" s="25"/>
      <c r="N74" s="1"/>
      <c r="O74" s="1"/>
      <c r="P74" s="1"/>
      <c r="Q74" s="1"/>
      <c r="R74" s="1"/>
    </row>
    <row r="75" spans="1:18" ht="16.5" x14ac:dyDescent="0.3">
      <c r="A75" s="14"/>
      <c r="B75" s="16"/>
      <c r="C75" s="16"/>
      <c r="D75" s="16"/>
      <c r="E75" s="16"/>
      <c r="F75" s="16"/>
      <c r="G75" s="1"/>
      <c r="H75" s="26"/>
      <c r="I75" s="25"/>
      <c r="J75" s="1"/>
      <c r="K75" s="1"/>
      <c r="L75" s="25"/>
      <c r="M75" s="25"/>
      <c r="N75" s="1"/>
      <c r="O75" s="1"/>
      <c r="P75" s="1"/>
      <c r="Q75" s="1"/>
      <c r="R75" s="1"/>
    </row>
    <row r="76" spans="1:18" ht="16.5" x14ac:dyDescent="0.3">
      <c r="A76" s="14"/>
      <c r="B76" s="16"/>
      <c r="C76" s="16"/>
      <c r="D76" s="16"/>
      <c r="E76" s="16"/>
      <c r="F76" s="16"/>
      <c r="G76" s="1"/>
      <c r="H76" s="26"/>
      <c r="I76" s="25"/>
      <c r="J76" s="1"/>
      <c r="K76" s="1"/>
      <c r="L76" s="25"/>
      <c r="M76" s="25"/>
      <c r="N76" s="1"/>
      <c r="O76" s="1"/>
      <c r="P76" s="1"/>
      <c r="Q76" s="1"/>
      <c r="R76" s="1"/>
    </row>
    <row r="77" spans="1:18" ht="16.5" x14ac:dyDescent="0.3">
      <c r="A77" s="14"/>
      <c r="B77" s="16"/>
      <c r="C77" s="16"/>
      <c r="D77" s="16"/>
      <c r="E77" s="16"/>
      <c r="F77" s="16"/>
      <c r="G77" s="1"/>
      <c r="H77" s="26"/>
      <c r="I77" s="25"/>
      <c r="J77" s="1"/>
      <c r="K77" s="1"/>
      <c r="L77" s="25"/>
      <c r="M77" s="25"/>
      <c r="N77" s="1"/>
      <c r="O77" s="1"/>
      <c r="P77" s="1"/>
      <c r="Q77" s="1"/>
      <c r="R77" s="1"/>
    </row>
    <row r="78" spans="1:18" ht="16.5" x14ac:dyDescent="0.3">
      <c r="A78" s="14"/>
      <c r="B78" s="16"/>
      <c r="C78" s="16"/>
      <c r="D78" s="16"/>
      <c r="E78" s="16"/>
      <c r="F78" s="16"/>
      <c r="G78" s="1"/>
      <c r="H78" s="26"/>
      <c r="I78" s="25"/>
      <c r="J78" s="1"/>
      <c r="K78" s="1"/>
      <c r="L78" s="25"/>
      <c r="M78" s="25"/>
      <c r="N78" s="1"/>
      <c r="O78" s="1"/>
      <c r="P78" s="1"/>
      <c r="Q78" s="1"/>
      <c r="R78" s="1"/>
    </row>
    <row r="79" spans="1:18" ht="16.5" x14ac:dyDescent="0.3">
      <c r="A79" s="14"/>
      <c r="B79" s="16"/>
      <c r="C79" s="16"/>
      <c r="D79" s="16"/>
      <c r="E79" s="16"/>
      <c r="F79" s="16"/>
      <c r="G79" s="1"/>
      <c r="H79" s="26"/>
      <c r="I79" s="25"/>
      <c r="J79" s="1"/>
      <c r="K79" s="1"/>
      <c r="L79" s="25"/>
      <c r="M79" s="25"/>
      <c r="N79" s="1"/>
      <c r="O79" s="1"/>
      <c r="P79" s="1"/>
      <c r="Q79" s="1"/>
      <c r="R79" s="1"/>
    </row>
    <row r="80" spans="1:18" ht="16.5" x14ac:dyDescent="0.3">
      <c r="A80" s="14"/>
      <c r="B80" s="16"/>
      <c r="C80" s="16"/>
      <c r="D80" s="16"/>
      <c r="E80" s="16"/>
      <c r="F80" s="16"/>
      <c r="G80" s="1"/>
      <c r="H80" s="26"/>
      <c r="I80" s="25"/>
      <c r="J80" s="1"/>
      <c r="K80" s="1"/>
      <c r="L80" s="25"/>
      <c r="M80" s="25"/>
      <c r="N80" s="1"/>
      <c r="O80" s="1"/>
      <c r="P80" s="1"/>
      <c r="Q80" s="1"/>
      <c r="R80" s="1"/>
    </row>
    <row r="81" spans="1:18" ht="16.5" x14ac:dyDescent="0.3">
      <c r="A81" s="14"/>
      <c r="B81" s="16"/>
      <c r="C81" s="16"/>
      <c r="D81" s="16"/>
      <c r="E81" s="16"/>
      <c r="F81" s="16"/>
      <c r="G81" s="1"/>
      <c r="H81" s="26"/>
      <c r="I81" s="25"/>
      <c r="J81" s="1"/>
      <c r="K81" s="1"/>
      <c r="L81" s="25"/>
      <c r="M81" s="25"/>
      <c r="N81" s="1"/>
      <c r="O81" s="1"/>
      <c r="P81" s="1"/>
      <c r="Q81" s="1"/>
      <c r="R81" s="1"/>
    </row>
    <row r="82" spans="1:18" ht="16.5" x14ac:dyDescent="0.3">
      <c r="A82" s="14"/>
      <c r="B82" s="16"/>
      <c r="C82" s="16"/>
      <c r="D82" s="16"/>
      <c r="E82" s="16"/>
      <c r="F82" s="16"/>
      <c r="G82" s="1"/>
      <c r="H82" s="26"/>
      <c r="I82" s="25"/>
      <c r="J82" s="1"/>
      <c r="K82" s="1"/>
      <c r="L82" s="25"/>
      <c r="M82" s="25"/>
      <c r="N82" s="1"/>
      <c r="O82" s="1"/>
      <c r="P82" s="1"/>
      <c r="Q82" s="1"/>
      <c r="R82" s="1"/>
    </row>
    <row r="83" spans="1:18" ht="16.5" x14ac:dyDescent="0.3">
      <c r="A83" s="14"/>
      <c r="B83" s="16"/>
      <c r="C83" s="16"/>
      <c r="D83" s="16"/>
      <c r="E83" s="16"/>
      <c r="F83" s="16"/>
      <c r="G83" s="1"/>
      <c r="H83" s="26"/>
      <c r="I83" s="25"/>
      <c r="J83" s="1"/>
      <c r="K83" s="1"/>
      <c r="L83" s="25"/>
      <c r="M83" s="25"/>
      <c r="N83" s="1"/>
      <c r="O83" s="1"/>
      <c r="P83" s="1"/>
      <c r="Q83" s="1"/>
      <c r="R83" s="1"/>
    </row>
    <row r="84" spans="1:18" ht="16.5" x14ac:dyDescent="0.3">
      <c r="A84" s="14"/>
      <c r="B84" s="16"/>
      <c r="C84" s="16"/>
      <c r="D84" s="16"/>
      <c r="E84" s="16"/>
      <c r="F84" s="16"/>
      <c r="G84" s="1"/>
      <c r="H84" s="26"/>
      <c r="I84" s="25"/>
      <c r="J84" s="1"/>
      <c r="K84" s="1"/>
      <c r="L84" s="25"/>
      <c r="M84" s="25"/>
      <c r="N84" s="1"/>
      <c r="O84" s="1"/>
      <c r="P84" s="1"/>
      <c r="Q84" s="1"/>
      <c r="R84" s="1"/>
    </row>
    <row r="85" spans="1:18" ht="16.5" x14ac:dyDescent="0.3">
      <c r="A85" s="14"/>
      <c r="B85" s="16"/>
      <c r="C85" s="16"/>
      <c r="D85" s="16"/>
      <c r="E85" s="16"/>
      <c r="F85" s="16"/>
      <c r="G85" s="1"/>
      <c r="H85" s="26"/>
      <c r="I85" s="25"/>
      <c r="J85" s="1"/>
      <c r="K85" s="1"/>
      <c r="L85" s="25"/>
      <c r="M85" s="25"/>
      <c r="N85" s="1"/>
      <c r="O85" s="1"/>
      <c r="P85" s="1"/>
      <c r="Q85" s="1"/>
      <c r="R85" s="1"/>
    </row>
    <row r="86" spans="1:18" ht="16.5" x14ac:dyDescent="0.3">
      <c r="A86" s="14"/>
      <c r="B86" s="16"/>
      <c r="C86" s="16"/>
      <c r="D86" s="16"/>
      <c r="E86" s="16"/>
      <c r="F86" s="16"/>
      <c r="G86" s="1"/>
      <c r="H86" s="26"/>
      <c r="I86" s="25"/>
      <c r="J86" s="1"/>
      <c r="K86" s="1"/>
      <c r="L86" s="25"/>
      <c r="M86" s="25"/>
      <c r="N86" s="1"/>
      <c r="O86" s="1"/>
      <c r="P86" s="1"/>
      <c r="Q86" s="1"/>
      <c r="R86" s="1"/>
    </row>
    <row r="87" spans="1:18" ht="16.5" x14ac:dyDescent="0.3">
      <c r="A87" s="14"/>
      <c r="B87" s="16"/>
      <c r="C87" s="16"/>
      <c r="D87" s="16"/>
      <c r="E87" s="16"/>
      <c r="F87" s="16"/>
      <c r="G87" s="1"/>
      <c r="H87" s="26"/>
      <c r="I87" s="25"/>
      <c r="J87" s="1"/>
      <c r="K87" s="1"/>
      <c r="L87" s="25"/>
      <c r="M87" s="25"/>
      <c r="N87" s="1"/>
      <c r="O87" s="1"/>
      <c r="P87" s="1"/>
      <c r="Q87" s="1"/>
      <c r="R87" s="1"/>
    </row>
    <row r="88" spans="1:18" ht="16.5" x14ac:dyDescent="0.3">
      <c r="A88" s="14"/>
      <c r="B88" s="16"/>
      <c r="C88" s="16"/>
      <c r="D88" s="16"/>
      <c r="E88" s="16"/>
      <c r="F88" s="16"/>
      <c r="G88" s="1"/>
      <c r="H88" s="26"/>
      <c r="I88" s="25"/>
      <c r="J88" s="1"/>
      <c r="K88" s="1"/>
      <c r="L88" s="25"/>
      <c r="M88" s="25"/>
      <c r="N88" s="1"/>
      <c r="O88" s="1"/>
      <c r="P88" s="1"/>
      <c r="Q88" s="1"/>
      <c r="R88" s="1"/>
    </row>
    <row r="89" spans="1:18" ht="16.5" x14ac:dyDescent="0.3">
      <c r="A89" s="14"/>
      <c r="B89" s="16"/>
      <c r="C89" s="16"/>
      <c r="D89" s="16"/>
      <c r="E89" s="16"/>
      <c r="F89" s="16"/>
      <c r="G89" s="1"/>
      <c r="H89" s="26"/>
      <c r="I89" s="25"/>
      <c r="J89" s="1"/>
      <c r="K89" s="1"/>
      <c r="L89" s="25"/>
      <c r="M89" s="25"/>
      <c r="N89" s="1"/>
      <c r="O89" s="1"/>
      <c r="P89" s="1"/>
      <c r="Q89" s="1"/>
      <c r="R89" s="1"/>
    </row>
    <row r="90" spans="1:18" ht="16.5" x14ac:dyDescent="0.3">
      <c r="A90" s="14"/>
      <c r="B90" s="16"/>
      <c r="C90" s="16"/>
      <c r="D90" s="16"/>
      <c r="E90" s="16"/>
      <c r="F90" s="16"/>
      <c r="G90" s="1"/>
      <c r="H90" s="26"/>
      <c r="I90" s="25"/>
      <c r="J90" s="1"/>
      <c r="K90" s="1"/>
      <c r="L90" s="25"/>
      <c r="M90" s="25"/>
      <c r="N90" s="1"/>
      <c r="O90" s="1"/>
      <c r="P90" s="1"/>
      <c r="Q90" s="1"/>
      <c r="R90" s="1"/>
    </row>
    <row r="91" spans="1:18" ht="16.5" x14ac:dyDescent="0.3">
      <c r="A91" s="14"/>
      <c r="B91" s="16"/>
      <c r="C91" s="16"/>
      <c r="D91" s="16"/>
      <c r="E91" s="16"/>
      <c r="F91" s="16"/>
      <c r="G91" s="1"/>
      <c r="H91" s="26"/>
      <c r="I91" s="25"/>
      <c r="J91" s="1"/>
      <c r="K91" s="1"/>
      <c r="L91" s="25"/>
      <c r="M91" s="25"/>
      <c r="N91" s="1"/>
      <c r="O91" s="1"/>
      <c r="P91" s="1"/>
      <c r="Q91" s="1"/>
      <c r="R91" s="1"/>
    </row>
    <row r="92" spans="1:18" ht="16.5" x14ac:dyDescent="0.3">
      <c r="A92" s="14"/>
      <c r="B92" s="16"/>
      <c r="C92" s="16"/>
      <c r="D92" s="16"/>
      <c r="E92" s="16"/>
      <c r="F92" s="16"/>
      <c r="G92" s="1"/>
      <c r="H92" s="26"/>
      <c r="I92" s="25"/>
      <c r="J92" s="1"/>
      <c r="K92" s="1"/>
      <c r="L92" s="25"/>
      <c r="M92" s="25"/>
      <c r="N92" s="1"/>
      <c r="O92" s="1"/>
      <c r="P92" s="1"/>
      <c r="Q92" s="1"/>
      <c r="R92" s="1"/>
    </row>
    <row r="93" spans="1:18" ht="16.5" x14ac:dyDescent="0.3">
      <c r="A93" s="14"/>
      <c r="B93" s="16"/>
      <c r="C93" s="16"/>
      <c r="D93" s="16"/>
      <c r="E93" s="16"/>
      <c r="F93" s="16"/>
      <c r="G93" s="1"/>
      <c r="H93" s="26"/>
      <c r="I93" s="25"/>
      <c r="J93" s="1"/>
      <c r="K93" s="1"/>
      <c r="L93" s="25"/>
      <c r="M93" s="25"/>
      <c r="N93" s="1"/>
      <c r="O93" s="1"/>
      <c r="P93" s="1"/>
      <c r="Q93" s="1"/>
      <c r="R93" s="1"/>
    </row>
    <row r="94" spans="1:18" ht="16.5" x14ac:dyDescent="0.3">
      <c r="A94" s="14"/>
      <c r="B94" s="16"/>
      <c r="C94" s="16"/>
      <c r="D94" s="16"/>
      <c r="E94" s="16"/>
      <c r="F94" s="16"/>
      <c r="G94" s="1"/>
      <c r="H94" s="26"/>
      <c r="I94" s="25"/>
      <c r="J94" s="1"/>
      <c r="K94" s="1"/>
      <c r="L94" s="25"/>
      <c r="M94" s="25"/>
      <c r="N94" s="1"/>
      <c r="O94" s="1"/>
      <c r="P94" s="1"/>
      <c r="Q94" s="1"/>
      <c r="R94" s="1"/>
    </row>
    <row r="95" spans="1:18" ht="16.5" x14ac:dyDescent="0.3">
      <c r="A95" s="14"/>
      <c r="B95" s="16"/>
      <c r="C95" s="16"/>
      <c r="D95" s="16"/>
      <c r="E95" s="16"/>
      <c r="F95" s="16"/>
      <c r="G95" s="1"/>
      <c r="H95" s="26"/>
      <c r="I95" s="25"/>
      <c r="J95" s="1"/>
      <c r="K95" s="1"/>
      <c r="L95" s="25"/>
      <c r="M95" s="25"/>
      <c r="N95" s="1"/>
      <c r="O95" s="1"/>
      <c r="P95" s="1"/>
      <c r="Q95" s="1"/>
      <c r="R95" s="1"/>
    </row>
    <row r="96" spans="1:18" ht="16.5" x14ac:dyDescent="0.3">
      <c r="A96" s="14"/>
      <c r="B96" s="16"/>
      <c r="C96" s="16"/>
      <c r="D96" s="16"/>
      <c r="E96" s="16"/>
      <c r="F96" s="16"/>
      <c r="G96" s="1"/>
      <c r="H96" s="26"/>
      <c r="I96" s="25"/>
      <c r="J96" s="1"/>
      <c r="K96" s="1"/>
      <c r="L96" s="25"/>
      <c r="M96" s="25"/>
      <c r="N96" s="1"/>
      <c r="O96" s="1"/>
      <c r="P96" s="1"/>
      <c r="Q96" s="1"/>
      <c r="R96" s="1"/>
    </row>
    <row r="97" spans="1:18" ht="16.5" x14ac:dyDescent="0.3">
      <c r="A97" s="14"/>
      <c r="B97" s="16"/>
      <c r="C97" s="16"/>
      <c r="D97" s="16"/>
      <c r="E97" s="16"/>
      <c r="F97" s="16"/>
      <c r="G97" s="1"/>
      <c r="H97" s="26"/>
      <c r="I97" s="25"/>
      <c r="J97" s="1"/>
      <c r="K97" s="1"/>
      <c r="L97" s="25"/>
      <c r="M97" s="25"/>
      <c r="N97" s="1"/>
      <c r="O97" s="1"/>
      <c r="P97" s="1"/>
      <c r="Q97" s="1"/>
      <c r="R97" s="1"/>
    </row>
    <row r="98" spans="1:18" ht="16.5" x14ac:dyDescent="0.3">
      <c r="A98" s="14"/>
      <c r="G98" s="1"/>
      <c r="H98" s="26"/>
      <c r="I98" s="25"/>
      <c r="J98" s="1"/>
      <c r="K98" s="1"/>
      <c r="L98" s="25"/>
      <c r="M98" s="25"/>
      <c r="N98" s="1"/>
      <c r="O98" s="1"/>
      <c r="P98" s="1"/>
      <c r="Q98" s="1"/>
      <c r="R98" s="1"/>
    </row>
    <row r="99" spans="1:18" ht="16.5" x14ac:dyDescent="0.3">
      <c r="A99" s="14"/>
      <c r="G99" s="1"/>
      <c r="H99" s="26"/>
      <c r="I99" s="25"/>
      <c r="J99" s="1"/>
      <c r="K99" s="1"/>
      <c r="L99" s="25"/>
      <c r="M99" s="25"/>
      <c r="N99" s="1"/>
      <c r="O99" s="1"/>
      <c r="P99" s="1"/>
      <c r="Q99" s="1"/>
      <c r="R99" s="1"/>
    </row>
    <row r="100" spans="1:18" ht="16.5" x14ac:dyDescent="0.3">
      <c r="A100" s="14"/>
      <c r="G100" s="1"/>
      <c r="H100" s="26"/>
      <c r="I100" s="25"/>
      <c r="J100" s="1"/>
      <c r="K100" s="1"/>
      <c r="L100" s="25"/>
      <c r="M100" s="25"/>
      <c r="N100" s="1"/>
      <c r="O100" s="1"/>
      <c r="P100" s="1"/>
      <c r="Q100" s="1"/>
      <c r="R100" s="1"/>
    </row>
    <row r="101" spans="1:18" ht="16.5" x14ac:dyDescent="0.3">
      <c r="A101" s="14"/>
      <c r="G101" s="1"/>
      <c r="H101" s="26"/>
      <c r="I101" s="25"/>
      <c r="J101" s="1"/>
      <c r="K101" s="1"/>
      <c r="L101" s="25"/>
      <c r="M101" s="25"/>
      <c r="N101" s="1"/>
      <c r="O101" s="1"/>
      <c r="P101" s="1"/>
      <c r="Q101" s="1"/>
      <c r="R101" s="1"/>
    </row>
    <row r="102" spans="1:18" ht="16.5" x14ac:dyDescent="0.3">
      <c r="A102" s="14"/>
      <c r="G102" s="1"/>
      <c r="H102" s="26"/>
      <c r="I102" s="25"/>
      <c r="J102" s="1"/>
      <c r="K102" s="1"/>
      <c r="L102" s="25"/>
      <c r="M102" s="25"/>
      <c r="N102" s="1"/>
      <c r="O102" s="1"/>
      <c r="P102" s="1"/>
      <c r="Q102" s="1"/>
      <c r="R102" s="1"/>
    </row>
    <row r="103" spans="1:18" ht="16.5" x14ac:dyDescent="0.3">
      <c r="A103" s="14"/>
      <c r="G103" s="1"/>
      <c r="H103" s="26"/>
      <c r="I103" s="25"/>
      <c r="J103" s="1"/>
      <c r="K103" s="1"/>
      <c r="L103" s="25"/>
      <c r="M103" s="25"/>
      <c r="N103" s="1"/>
      <c r="O103" s="1"/>
      <c r="P103" s="1"/>
      <c r="Q103" s="1"/>
      <c r="R103" s="1"/>
    </row>
    <row r="104" spans="1:18" ht="16.5" x14ac:dyDescent="0.3">
      <c r="A104" s="14"/>
      <c r="G104" s="1"/>
      <c r="H104" s="26"/>
      <c r="I104" s="25"/>
      <c r="J104" s="1"/>
      <c r="K104" s="1"/>
      <c r="L104" s="25"/>
      <c r="M104" s="25"/>
      <c r="N104" s="1"/>
      <c r="O104" s="1"/>
      <c r="P104" s="1"/>
      <c r="Q104" s="1"/>
      <c r="R104" s="1"/>
    </row>
    <row r="105" spans="1:18" ht="16.5" x14ac:dyDescent="0.3">
      <c r="A105" s="14"/>
      <c r="G105" s="1"/>
      <c r="H105" s="26"/>
      <c r="I105" s="25"/>
      <c r="J105" s="1"/>
      <c r="K105" s="1"/>
      <c r="L105" s="25"/>
      <c r="M105" s="25"/>
      <c r="N105" s="1"/>
      <c r="O105" s="1"/>
      <c r="P105" s="1"/>
      <c r="Q105" s="1"/>
      <c r="R105" s="1"/>
    </row>
    <row r="106" spans="1:18" ht="16.5" x14ac:dyDescent="0.3">
      <c r="A106" s="14"/>
      <c r="G106" s="1"/>
      <c r="H106" s="26"/>
      <c r="I106" s="25"/>
      <c r="J106" s="1"/>
      <c r="K106" s="1"/>
      <c r="L106" s="25"/>
      <c r="M106" s="25"/>
      <c r="N106" s="1"/>
      <c r="O106" s="1"/>
      <c r="P106" s="1"/>
      <c r="Q106" s="1"/>
      <c r="R106" s="1"/>
    </row>
    <row r="107" spans="1:18" ht="16.5" x14ac:dyDescent="0.3">
      <c r="A107" s="14"/>
      <c r="G107" s="1"/>
      <c r="H107" s="26"/>
      <c r="I107" s="25"/>
      <c r="J107" s="1"/>
      <c r="K107" s="1"/>
      <c r="L107" s="25"/>
      <c r="M107" s="25"/>
      <c r="N107" s="1"/>
      <c r="O107" s="1"/>
      <c r="P107" s="1"/>
      <c r="Q107" s="1"/>
      <c r="R107" s="1"/>
    </row>
    <row r="108" spans="1:18" ht="16.5" x14ac:dyDescent="0.3">
      <c r="A108" s="14"/>
      <c r="G108" s="1"/>
      <c r="H108" s="26"/>
      <c r="I108" s="25"/>
      <c r="J108" s="1"/>
      <c r="K108" s="1"/>
      <c r="L108" s="25"/>
      <c r="M108" s="25"/>
      <c r="N108" s="1"/>
      <c r="O108" s="1"/>
      <c r="P108" s="1"/>
      <c r="Q108" s="1"/>
      <c r="R108" s="1"/>
    </row>
    <row r="109" spans="1:18" ht="16.5" x14ac:dyDescent="0.3">
      <c r="A109" s="14"/>
      <c r="G109" s="1"/>
      <c r="H109" s="26"/>
      <c r="I109" s="25"/>
      <c r="J109" s="1"/>
      <c r="K109" s="1"/>
      <c r="L109" s="25"/>
      <c r="M109" s="25"/>
      <c r="N109" s="1"/>
      <c r="O109" s="1"/>
      <c r="P109" s="1"/>
      <c r="Q109" s="1"/>
      <c r="R109" s="1"/>
    </row>
    <row r="110" spans="1:18" ht="16.5" x14ac:dyDescent="0.3">
      <c r="A110" s="14"/>
      <c r="G110" s="1"/>
      <c r="H110" s="26"/>
      <c r="I110" s="25"/>
      <c r="J110" s="1"/>
      <c r="K110" s="1"/>
      <c r="L110" s="25"/>
      <c r="M110" s="25"/>
      <c r="N110" s="1"/>
      <c r="O110" s="1"/>
      <c r="P110" s="1"/>
      <c r="Q110" s="1"/>
      <c r="R110" s="1"/>
    </row>
    <row r="111" spans="1:18" ht="16.5" x14ac:dyDescent="0.3">
      <c r="A111" s="14"/>
      <c r="G111" s="1"/>
      <c r="H111" s="26"/>
      <c r="I111" s="25"/>
      <c r="J111" s="1"/>
      <c r="K111" s="1"/>
      <c r="L111" s="25"/>
      <c r="M111" s="25"/>
      <c r="N111" s="1"/>
      <c r="O111" s="1"/>
      <c r="P111" s="1"/>
      <c r="Q111" s="1"/>
      <c r="R111" s="1"/>
    </row>
    <row r="112" spans="1:18" ht="16.5" x14ac:dyDescent="0.3">
      <c r="A112" s="14"/>
      <c r="G112" s="1"/>
      <c r="H112" s="26"/>
      <c r="I112" s="25"/>
      <c r="J112" s="1"/>
      <c r="K112" s="1"/>
      <c r="L112" s="25"/>
      <c r="M112" s="25"/>
      <c r="N112" s="1"/>
      <c r="O112" s="1"/>
      <c r="P112" s="1"/>
      <c r="Q112" s="1"/>
      <c r="R112" s="1"/>
    </row>
    <row r="113" spans="1:18" ht="16.5" x14ac:dyDescent="0.3">
      <c r="A113" s="14"/>
      <c r="G113" s="1"/>
      <c r="H113" s="26"/>
      <c r="I113" s="25"/>
      <c r="J113" s="1"/>
      <c r="K113" s="1"/>
      <c r="L113" s="25"/>
      <c r="M113" s="25"/>
      <c r="N113" s="1"/>
      <c r="O113" s="1"/>
      <c r="P113" s="1"/>
      <c r="Q113" s="1"/>
      <c r="R113" s="1"/>
    </row>
    <row r="114" spans="1:18" ht="16.5" x14ac:dyDescent="0.3">
      <c r="A114" s="14"/>
      <c r="G114" s="1"/>
      <c r="H114" s="26"/>
      <c r="I114" s="25"/>
      <c r="J114" s="1"/>
      <c r="K114" s="1"/>
      <c r="L114" s="25"/>
      <c r="M114" s="25"/>
      <c r="N114" s="1"/>
      <c r="O114" s="1"/>
      <c r="P114" s="1"/>
      <c r="Q114" s="1"/>
      <c r="R114" s="1"/>
    </row>
    <row r="115" spans="1:18" ht="16.5" x14ac:dyDescent="0.3">
      <c r="A115" s="14"/>
      <c r="G115" s="1"/>
      <c r="H115" s="26"/>
      <c r="I115" s="25"/>
      <c r="J115" s="1"/>
      <c r="K115" s="1"/>
      <c r="L115" s="25"/>
      <c r="M115" s="25"/>
      <c r="N115" s="1"/>
      <c r="O115" s="1"/>
      <c r="P115" s="1"/>
      <c r="Q115" s="1"/>
      <c r="R115" s="1"/>
    </row>
    <row r="116" spans="1:18" ht="16.5" x14ac:dyDescent="0.3">
      <c r="A116" s="14"/>
      <c r="G116" s="1"/>
      <c r="H116" s="26"/>
      <c r="I116" s="25"/>
      <c r="J116" s="1"/>
      <c r="K116" s="1"/>
      <c r="L116" s="25"/>
      <c r="M116" s="25"/>
      <c r="N116" s="1"/>
      <c r="O116" s="1"/>
      <c r="P116" s="1"/>
      <c r="Q116" s="1"/>
      <c r="R116" s="1"/>
    </row>
    <row r="117" spans="1:18" ht="16.5" x14ac:dyDescent="0.3">
      <c r="A117" s="14"/>
      <c r="G117" s="1"/>
      <c r="H117" s="26"/>
      <c r="I117" s="25"/>
      <c r="J117" s="1"/>
      <c r="K117" s="1"/>
      <c r="L117" s="25"/>
      <c r="M117" s="25"/>
      <c r="N117" s="1"/>
      <c r="O117" s="1"/>
      <c r="P117" s="1"/>
      <c r="Q117" s="1"/>
      <c r="R117" s="1"/>
    </row>
    <row r="118" spans="1:18" ht="16.5" x14ac:dyDescent="0.3">
      <c r="A118" s="14"/>
      <c r="G118" s="1"/>
      <c r="H118" s="26"/>
      <c r="I118" s="25"/>
      <c r="J118" s="1"/>
      <c r="K118" s="1"/>
      <c r="L118" s="25"/>
      <c r="M118" s="25"/>
      <c r="N118" s="1"/>
      <c r="O118" s="1"/>
      <c r="P118" s="1"/>
      <c r="Q118" s="1"/>
      <c r="R118" s="1"/>
    </row>
    <row r="119" spans="1:18" ht="16.5" x14ac:dyDescent="0.3">
      <c r="A119" s="14"/>
      <c r="G119" s="1"/>
      <c r="H119" s="26"/>
      <c r="I119" s="25"/>
      <c r="J119" s="1"/>
      <c r="K119" s="1"/>
      <c r="L119" s="25"/>
      <c r="M119" s="25"/>
      <c r="N119" s="1"/>
      <c r="O119" s="1"/>
      <c r="P119" s="1"/>
      <c r="Q119" s="1"/>
      <c r="R119" s="1"/>
    </row>
    <row r="120" spans="1:18" ht="16.5" x14ac:dyDescent="0.3">
      <c r="A120" s="14"/>
      <c r="G120" s="1"/>
      <c r="H120" s="26"/>
      <c r="I120" s="25"/>
      <c r="J120" s="1"/>
      <c r="K120" s="1"/>
      <c r="L120" s="25"/>
      <c r="M120" s="25"/>
      <c r="N120" s="1"/>
      <c r="O120" s="1"/>
      <c r="P120" s="1"/>
      <c r="Q120" s="1"/>
      <c r="R120" s="1"/>
    </row>
    <row r="121" spans="1:18" ht="16.5" x14ac:dyDescent="0.3">
      <c r="A121" s="14"/>
      <c r="G121" s="1"/>
      <c r="H121" s="26"/>
      <c r="I121" s="25"/>
      <c r="J121" s="1"/>
      <c r="K121" s="1"/>
      <c r="L121" s="25"/>
      <c r="M121" s="25"/>
      <c r="N121" s="1"/>
      <c r="O121" s="1"/>
      <c r="P121" s="1"/>
      <c r="Q121" s="1"/>
      <c r="R121" s="1"/>
    </row>
    <row r="122" spans="1:18" ht="16.5" x14ac:dyDescent="0.3">
      <c r="A122" s="14"/>
      <c r="G122" s="1"/>
      <c r="H122" s="26"/>
      <c r="I122" s="25"/>
      <c r="J122" s="1"/>
      <c r="K122" s="1"/>
      <c r="L122" s="25"/>
      <c r="M122" s="25"/>
      <c r="N122" s="1"/>
      <c r="O122" s="1"/>
      <c r="P122" s="1"/>
      <c r="Q122" s="1"/>
      <c r="R122" s="1"/>
    </row>
    <row r="123" spans="1:18" ht="16.5" x14ac:dyDescent="0.3">
      <c r="A123" s="14"/>
      <c r="G123" s="1"/>
      <c r="H123" s="26"/>
      <c r="I123" s="25"/>
      <c r="J123" s="1"/>
      <c r="K123" s="1"/>
      <c r="L123" s="25"/>
      <c r="M123" s="25"/>
      <c r="N123" s="1"/>
      <c r="O123" s="1"/>
      <c r="P123" s="1"/>
      <c r="Q123" s="1"/>
      <c r="R123" s="1"/>
    </row>
    <row r="124" spans="1:18" ht="16.5" x14ac:dyDescent="0.3">
      <c r="A124" s="14"/>
      <c r="G124" s="1"/>
      <c r="H124" s="26"/>
      <c r="I124" s="25"/>
      <c r="J124" s="1"/>
      <c r="K124" s="1"/>
      <c r="L124" s="25"/>
      <c r="M124" s="25"/>
      <c r="N124" s="1"/>
      <c r="O124" s="1"/>
      <c r="P124" s="1"/>
      <c r="Q124" s="1"/>
      <c r="R124" s="1"/>
    </row>
    <row r="125" spans="1:18" ht="16.5" x14ac:dyDescent="0.3">
      <c r="A125" s="14"/>
      <c r="G125" s="1"/>
      <c r="H125" s="26"/>
      <c r="I125" s="25"/>
      <c r="J125" s="1"/>
      <c r="K125" s="1"/>
      <c r="L125" s="25"/>
      <c r="M125" s="25"/>
      <c r="N125" s="1"/>
      <c r="O125" s="1"/>
      <c r="P125" s="1"/>
      <c r="Q125" s="1"/>
      <c r="R125" s="1"/>
    </row>
    <row r="126" spans="1:18" ht="16.5" x14ac:dyDescent="0.3">
      <c r="A126" s="14"/>
      <c r="G126" s="1"/>
      <c r="H126" s="26"/>
      <c r="I126" s="25"/>
      <c r="J126" s="1"/>
      <c r="K126" s="1"/>
      <c r="L126" s="25"/>
      <c r="M126" s="25"/>
      <c r="N126" s="1"/>
      <c r="O126" s="1"/>
      <c r="P126" s="1"/>
      <c r="Q126" s="1"/>
      <c r="R126" s="1"/>
    </row>
    <row r="127" spans="1:18" ht="16.5" x14ac:dyDescent="0.3">
      <c r="A127" s="14"/>
      <c r="G127" s="1"/>
      <c r="H127" s="26"/>
      <c r="I127" s="25"/>
      <c r="J127" s="1"/>
      <c r="K127" s="1"/>
      <c r="L127" s="25"/>
      <c r="M127" s="25"/>
      <c r="N127" s="1"/>
      <c r="O127" s="1"/>
      <c r="P127" s="1"/>
      <c r="Q127" s="1"/>
      <c r="R127" s="1"/>
    </row>
    <row r="128" spans="1:18" ht="16.5" x14ac:dyDescent="0.3">
      <c r="A128" s="14"/>
      <c r="G128" s="1"/>
      <c r="H128" s="26"/>
      <c r="I128" s="25"/>
      <c r="J128" s="1"/>
      <c r="K128" s="1"/>
      <c r="L128" s="25"/>
      <c r="M128" s="25"/>
      <c r="N128" s="1"/>
      <c r="O128" s="1"/>
      <c r="P128" s="1"/>
      <c r="Q128" s="1"/>
      <c r="R128" s="1"/>
    </row>
    <row r="129" spans="1:18" ht="16.5" x14ac:dyDescent="0.3">
      <c r="A129" s="14"/>
      <c r="G129" s="1"/>
      <c r="H129" s="26"/>
      <c r="I129" s="25"/>
      <c r="J129" s="1"/>
      <c r="K129" s="1"/>
      <c r="L129" s="25"/>
      <c r="M129" s="25"/>
      <c r="N129" s="1"/>
      <c r="O129" s="1"/>
      <c r="P129" s="1"/>
      <c r="Q129" s="1"/>
      <c r="R129" s="1"/>
    </row>
    <row r="130" spans="1:18" ht="16.5" x14ac:dyDescent="0.3">
      <c r="A130" s="14"/>
      <c r="G130" s="1"/>
      <c r="H130" s="26"/>
      <c r="I130" s="25"/>
      <c r="J130" s="1"/>
      <c r="K130" s="1"/>
      <c r="L130" s="25"/>
      <c r="M130" s="25"/>
      <c r="N130" s="1"/>
      <c r="O130" s="1"/>
      <c r="P130" s="1"/>
      <c r="Q130" s="1"/>
      <c r="R130" s="1"/>
    </row>
    <row r="131" spans="1:18" ht="16.5" x14ac:dyDescent="0.3">
      <c r="A131" s="14"/>
      <c r="G131" s="1"/>
      <c r="H131" s="26"/>
      <c r="I131" s="25"/>
      <c r="J131" s="1"/>
      <c r="K131" s="1"/>
      <c r="L131" s="25"/>
      <c r="M131" s="25"/>
      <c r="N131" s="1"/>
      <c r="O131" s="1"/>
      <c r="P131" s="1"/>
      <c r="Q131" s="1"/>
      <c r="R131" s="1"/>
    </row>
    <row r="132" spans="1:18" ht="16.5" x14ac:dyDescent="0.3">
      <c r="A132" s="14"/>
      <c r="G132" s="1"/>
      <c r="H132" s="26"/>
      <c r="I132" s="25"/>
      <c r="J132" s="1"/>
      <c r="K132" s="1"/>
      <c r="L132" s="25"/>
      <c r="M132" s="25"/>
      <c r="N132" s="1"/>
      <c r="O132" s="1"/>
      <c r="P132" s="1"/>
      <c r="Q132" s="1"/>
      <c r="R132" s="1"/>
    </row>
    <row r="133" spans="1:18" ht="16.5" x14ac:dyDescent="0.3">
      <c r="A133" s="14"/>
      <c r="G133" s="1"/>
      <c r="H133" s="26"/>
      <c r="I133" s="25"/>
      <c r="J133" s="1"/>
      <c r="K133" s="1"/>
      <c r="L133" s="25"/>
      <c r="M133" s="25"/>
      <c r="N133" s="1"/>
      <c r="O133" s="1"/>
      <c r="P133" s="1"/>
      <c r="Q133" s="1"/>
      <c r="R133" s="1"/>
    </row>
    <row r="134" spans="1:18" ht="16.5" x14ac:dyDescent="0.3">
      <c r="A134" s="14"/>
      <c r="G134" s="1"/>
      <c r="H134" s="26"/>
      <c r="I134" s="25"/>
      <c r="J134" s="1"/>
      <c r="K134" s="1"/>
      <c r="L134" s="25"/>
      <c r="M134" s="25"/>
      <c r="N134" s="1"/>
      <c r="O134" s="1"/>
      <c r="P134" s="1"/>
      <c r="Q134" s="1"/>
      <c r="R134" s="1"/>
    </row>
    <row r="135" spans="1:18" ht="16.5" x14ac:dyDescent="0.3">
      <c r="A135" s="14"/>
      <c r="G135" s="1"/>
      <c r="H135" s="26"/>
      <c r="I135" s="25"/>
      <c r="J135" s="1"/>
      <c r="K135" s="1"/>
      <c r="L135" s="25"/>
      <c r="M135" s="25"/>
      <c r="N135" s="1"/>
      <c r="O135" s="1"/>
      <c r="P135" s="1"/>
      <c r="Q135" s="1"/>
      <c r="R135" s="1"/>
    </row>
    <row r="136" spans="1:18" ht="16.5" x14ac:dyDescent="0.3">
      <c r="A136" s="14"/>
      <c r="G136" s="1"/>
      <c r="H136" s="26"/>
      <c r="I136" s="25"/>
      <c r="J136" s="1"/>
      <c r="K136" s="1"/>
      <c r="L136" s="25"/>
      <c r="M136" s="25"/>
      <c r="N136" s="1"/>
      <c r="O136" s="1"/>
      <c r="P136" s="1"/>
      <c r="Q136" s="1"/>
      <c r="R136" s="1"/>
    </row>
    <row r="137" spans="1:18" ht="16.5" x14ac:dyDescent="0.3">
      <c r="A137" s="14"/>
      <c r="G137" s="1"/>
      <c r="H137" s="26"/>
      <c r="I137" s="25"/>
      <c r="J137" s="1"/>
      <c r="K137" s="1"/>
      <c r="L137" s="25"/>
      <c r="M137" s="25"/>
      <c r="N137" s="1"/>
      <c r="O137" s="1"/>
      <c r="P137" s="1"/>
      <c r="Q137" s="1"/>
      <c r="R137" s="1"/>
    </row>
    <row r="138" spans="1:18" ht="16.5" x14ac:dyDescent="0.3">
      <c r="A138" s="14"/>
      <c r="G138" s="1"/>
      <c r="H138" s="26"/>
      <c r="I138" s="25"/>
      <c r="J138" s="1"/>
      <c r="K138" s="1"/>
      <c r="L138" s="25"/>
      <c r="M138" s="25"/>
      <c r="N138" s="1"/>
      <c r="O138" s="1"/>
      <c r="P138" s="1"/>
      <c r="Q138" s="1"/>
      <c r="R138" s="1"/>
    </row>
    <row r="139" spans="1:18" ht="16.5" x14ac:dyDescent="0.3">
      <c r="A139" s="14"/>
      <c r="G139" s="1"/>
      <c r="H139" s="26"/>
      <c r="I139" s="25"/>
      <c r="J139" s="1"/>
      <c r="K139" s="1"/>
      <c r="L139" s="25"/>
      <c r="M139" s="25"/>
      <c r="N139" s="1"/>
      <c r="O139" s="1"/>
      <c r="P139" s="1"/>
      <c r="Q139" s="1"/>
      <c r="R139" s="1"/>
    </row>
    <row r="140" spans="1:18" ht="16.5" x14ac:dyDescent="0.3">
      <c r="A140" s="14"/>
      <c r="G140" s="1"/>
      <c r="H140" s="26"/>
      <c r="I140" s="25"/>
      <c r="J140" s="1"/>
      <c r="K140" s="1"/>
      <c r="L140" s="25"/>
      <c r="M140" s="25"/>
      <c r="N140" s="1"/>
      <c r="O140" s="1"/>
      <c r="P140" s="1"/>
      <c r="Q140" s="1"/>
      <c r="R140" s="1"/>
    </row>
    <row r="141" spans="1:18" ht="16.5" x14ac:dyDescent="0.3">
      <c r="A141" s="14"/>
      <c r="G141" s="1"/>
      <c r="H141" s="26"/>
      <c r="I141" s="25"/>
      <c r="J141" s="1"/>
      <c r="K141" s="1"/>
      <c r="L141" s="25"/>
      <c r="M141" s="25"/>
      <c r="N141" s="1"/>
      <c r="O141" s="1"/>
      <c r="P141" s="1"/>
      <c r="Q141" s="1"/>
      <c r="R141" s="1"/>
    </row>
    <row r="142" spans="1:18" ht="16.5" x14ac:dyDescent="0.3">
      <c r="A142" s="14"/>
      <c r="G142" s="1"/>
      <c r="H142" s="26"/>
      <c r="I142" s="25"/>
      <c r="J142" s="1"/>
      <c r="K142" s="1"/>
      <c r="L142" s="25"/>
      <c r="M142" s="25"/>
      <c r="N142" s="1"/>
      <c r="O142" s="1"/>
      <c r="P142" s="1"/>
      <c r="Q142" s="1"/>
      <c r="R142" s="1"/>
    </row>
    <row r="143" spans="1:18" ht="16.5" x14ac:dyDescent="0.3">
      <c r="A143" s="14"/>
      <c r="G143" s="1"/>
      <c r="H143" s="26"/>
      <c r="I143" s="25"/>
      <c r="J143" s="1"/>
      <c r="K143" s="1"/>
      <c r="L143" s="25"/>
      <c r="M143" s="25"/>
      <c r="N143" s="1"/>
      <c r="O143" s="1"/>
      <c r="P143" s="1"/>
      <c r="Q143" s="1"/>
      <c r="R143" s="1"/>
    </row>
    <row r="144" spans="1:18" ht="16.5" x14ac:dyDescent="0.3">
      <c r="A144" s="14"/>
      <c r="G144" s="1"/>
      <c r="H144" s="26"/>
      <c r="I144" s="25"/>
      <c r="J144" s="1"/>
      <c r="K144" s="1"/>
      <c r="L144" s="25"/>
      <c r="M144" s="25"/>
      <c r="N144" s="1"/>
      <c r="O144" s="1"/>
      <c r="P144" s="1"/>
      <c r="Q144" s="1"/>
      <c r="R144" s="1"/>
    </row>
    <row r="145" spans="1:18" ht="16.5" x14ac:dyDescent="0.3">
      <c r="A145" s="14"/>
      <c r="G145" s="1"/>
      <c r="H145" s="26"/>
      <c r="I145" s="25"/>
      <c r="J145" s="1"/>
      <c r="K145" s="1"/>
      <c r="L145" s="25"/>
      <c r="M145" s="25"/>
      <c r="N145" s="1"/>
      <c r="O145" s="1"/>
      <c r="P145" s="1"/>
      <c r="Q145" s="1"/>
      <c r="R145" s="1"/>
    </row>
    <row r="146" spans="1:18" ht="16.5" x14ac:dyDescent="0.3">
      <c r="A146" s="14"/>
      <c r="G146" s="1"/>
      <c r="H146" s="26"/>
      <c r="I146" s="25"/>
      <c r="J146" s="1"/>
      <c r="K146" s="1"/>
      <c r="L146" s="25"/>
      <c r="M146" s="25"/>
      <c r="N146" s="1"/>
      <c r="O146" s="1"/>
      <c r="P146" s="1"/>
      <c r="Q146" s="1"/>
      <c r="R146" s="1"/>
    </row>
    <row r="147" spans="1:18" ht="16.5" x14ac:dyDescent="0.3">
      <c r="A147" s="14"/>
      <c r="G147" s="1"/>
      <c r="H147" s="26"/>
      <c r="I147" s="25"/>
      <c r="J147" s="1"/>
      <c r="K147" s="1"/>
      <c r="L147" s="25"/>
      <c r="M147" s="25"/>
      <c r="N147" s="1"/>
      <c r="O147" s="1"/>
      <c r="P147" s="1"/>
      <c r="Q147" s="1"/>
      <c r="R147" s="1"/>
    </row>
    <row r="148" spans="1:18" ht="16.5" x14ac:dyDescent="0.3">
      <c r="A148" s="14"/>
      <c r="G148" s="1"/>
      <c r="H148" s="26"/>
      <c r="I148" s="25"/>
      <c r="J148" s="1"/>
      <c r="K148" s="1"/>
      <c r="L148" s="25"/>
      <c r="M148" s="25"/>
      <c r="N148" s="1"/>
      <c r="O148" s="1"/>
      <c r="P148" s="1"/>
      <c r="Q148" s="1"/>
      <c r="R148" s="1"/>
    </row>
    <row r="149" spans="1:18" ht="16.5" x14ac:dyDescent="0.3">
      <c r="A149" s="14"/>
      <c r="G149" s="1"/>
      <c r="H149" s="26"/>
      <c r="I149" s="25"/>
      <c r="J149" s="1"/>
      <c r="K149" s="1"/>
      <c r="L149" s="25"/>
      <c r="M149" s="25"/>
      <c r="N149" s="1"/>
      <c r="O149" s="1"/>
      <c r="P149" s="1"/>
      <c r="Q149" s="1"/>
      <c r="R149" s="1"/>
    </row>
    <row r="150" spans="1:18" ht="16.5" x14ac:dyDescent="0.3">
      <c r="A150" s="14"/>
      <c r="G150" s="1"/>
      <c r="H150" s="26"/>
      <c r="I150" s="25"/>
      <c r="J150" s="1"/>
      <c r="K150" s="1"/>
      <c r="L150" s="25"/>
      <c r="M150" s="25"/>
      <c r="N150" s="1"/>
      <c r="O150" s="1"/>
      <c r="P150" s="1"/>
      <c r="Q150" s="1"/>
      <c r="R150" s="1"/>
    </row>
    <row r="151" spans="1:18" ht="16.5" x14ac:dyDescent="0.3">
      <c r="A151" s="14"/>
      <c r="G151" s="1"/>
      <c r="H151" s="26"/>
      <c r="I151" s="25"/>
      <c r="J151" s="1"/>
      <c r="K151" s="1"/>
      <c r="L151" s="25"/>
      <c r="M151" s="25"/>
      <c r="N151" s="1"/>
      <c r="O151" s="1"/>
      <c r="P151" s="1"/>
      <c r="Q151" s="1"/>
      <c r="R151" s="1"/>
    </row>
    <row r="152" spans="1:18" ht="16.5" x14ac:dyDescent="0.3">
      <c r="A152" s="14"/>
      <c r="G152" s="1"/>
      <c r="H152" s="26"/>
      <c r="I152" s="25"/>
      <c r="J152" s="1"/>
      <c r="K152" s="1"/>
      <c r="L152" s="25"/>
      <c r="M152" s="25"/>
      <c r="N152" s="1"/>
      <c r="O152" s="1"/>
      <c r="P152" s="1"/>
      <c r="Q152" s="1"/>
      <c r="R152" s="1"/>
    </row>
    <row r="153" spans="1:18" ht="16.5" x14ac:dyDescent="0.3">
      <c r="A153" s="14"/>
      <c r="G153" s="1"/>
      <c r="H153" s="26"/>
      <c r="I153" s="25"/>
      <c r="J153" s="1"/>
      <c r="K153" s="1"/>
      <c r="L153" s="25"/>
      <c r="M153" s="25"/>
      <c r="N153" s="1"/>
      <c r="O153" s="1"/>
      <c r="P153" s="1"/>
      <c r="Q153" s="1"/>
      <c r="R153" s="1"/>
    </row>
    <row r="154" spans="1:18" ht="16.5" x14ac:dyDescent="0.3">
      <c r="A154" s="14"/>
      <c r="G154" s="1"/>
      <c r="H154" s="26"/>
      <c r="I154" s="25"/>
      <c r="J154" s="1"/>
      <c r="K154" s="1"/>
      <c r="L154" s="25"/>
      <c r="M154" s="25"/>
      <c r="N154" s="1"/>
      <c r="O154" s="1"/>
      <c r="P154" s="1"/>
      <c r="Q154" s="1"/>
      <c r="R154" s="1"/>
    </row>
    <row r="155" spans="1:18" ht="16.5" x14ac:dyDescent="0.3">
      <c r="A155" s="14"/>
      <c r="G155" s="1"/>
      <c r="H155" s="26"/>
      <c r="I155" s="25"/>
      <c r="J155" s="1"/>
      <c r="K155" s="1"/>
      <c r="L155" s="25"/>
      <c r="M155" s="25"/>
      <c r="N155" s="1"/>
      <c r="O155" s="1"/>
      <c r="P155" s="1"/>
      <c r="Q155" s="1"/>
      <c r="R155" s="1"/>
    </row>
    <row r="156" spans="1:18" ht="16.5" x14ac:dyDescent="0.3">
      <c r="A156" s="14"/>
      <c r="G156" s="1"/>
      <c r="H156" s="26"/>
      <c r="I156" s="25"/>
      <c r="J156" s="1"/>
      <c r="K156" s="1"/>
      <c r="L156" s="25"/>
      <c r="M156" s="25"/>
      <c r="N156" s="1"/>
      <c r="O156" s="1"/>
      <c r="P156" s="1"/>
      <c r="Q156" s="1"/>
      <c r="R156" s="1"/>
    </row>
    <row r="157" spans="1:18" ht="16.5" x14ac:dyDescent="0.3">
      <c r="A157" s="14"/>
      <c r="G157" s="1"/>
      <c r="H157" s="26"/>
      <c r="I157" s="25"/>
      <c r="J157" s="1"/>
      <c r="K157" s="1"/>
      <c r="L157" s="25"/>
      <c r="M157" s="25"/>
      <c r="N157" s="1"/>
      <c r="O157" s="1"/>
      <c r="P157" s="1"/>
      <c r="Q157" s="1"/>
      <c r="R157" s="1"/>
    </row>
    <row r="158" spans="1:18" ht="16.5" x14ac:dyDescent="0.3">
      <c r="A158" s="14"/>
      <c r="G158" s="1"/>
      <c r="H158" s="26"/>
      <c r="I158" s="25"/>
      <c r="J158" s="1"/>
      <c r="K158" s="1"/>
      <c r="L158" s="25"/>
      <c r="M158" s="25"/>
      <c r="N158" s="1"/>
      <c r="O158" s="1"/>
      <c r="P158" s="1"/>
      <c r="Q158" s="1"/>
      <c r="R158" s="1"/>
    </row>
    <row r="159" spans="1:18" ht="16.5" x14ac:dyDescent="0.3">
      <c r="A159" s="14"/>
      <c r="G159" s="1"/>
      <c r="H159" s="26"/>
      <c r="I159" s="25"/>
      <c r="J159" s="1"/>
      <c r="K159" s="1"/>
      <c r="L159" s="25"/>
      <c r="M159" s="25"/>
      <c r="N159" s="1"/>
      <c r="O159" s="1"/>
      <c r="P159" s="1"/>
      <c r="Q159" s="1"/>
      <c r="R159" s="1"/>
    </row>
    <row r="160" spans="1:18" ht="16.5" x14ac:dyDescent="0.3">
      <c r="A160" s="14"/>
      <c r="G160" s="1"/>
      <c r="H160" s="26"/>
      <c r="I160" s="25"/>
      <c r="J160" s="1"/>
      <c r="K160" s="1"/>
      <c r="L160" s="25"/>
      <c r="M160" s="25"/>
      <c r="N160" s="1"/>
      <c r="O160" s="1"/>
      <c r="P160" s="1"/>
      <c r="Q160" s="1"/>
      <c r="R160" s="1"/>
    </row>
    <row r="161" spans="1:18" ht="16.5" x14ac:dyDescent="0.3">
      <c r="A161" s="14"/>
      <c r="G161" s="1"/>
      <c r="H161" s="26"/>
      <c r="I161" s="25"/>
      <c r="J161" s="1"/>
      <c r="K161" s="1"/>
      <c r="L161" s="25"/>
      <c r="M161" s="25"/>
      <c r="N161" s="1"/>
      <c r="O161" s="1"/>
      <c r="P161" s="1"/>
      <c r="Q161" s="1"/>
      <c r="R161" s="1"/>
    </row>
    <row r="162" spans="1:18" ht="16.5" x14ac:dyDescent="0.3">
      <c r="A162" s="14"/>
      <c r="G162" s="1"/>
      <c r="H162" s="26"/>
      <c r="I162" s="25"/>
      <c r="J162" s="1"/>
      <c r="K162" s="1"/>
      <c r="L162" s="25"/>
      <c r="M162" s="25"/>
      <c r="N162" s="1"/>
      <c r="O162" s="1"/>
      <c r="P162" s="1"/>
      <c r="Q162" s="1"/>
      <c r="R162" s="1"/>
    </row>
    <row r="163" spans="1:18" ht="16.5" x14ac:dyDescent="0.3">
      <c r="A163" s="14"/>
      <c r="G163" s="1"/>
      <c r="H163" s="26"/>
      <c r="I163" s="25"/>
      <c r="J163" s="1"/>
      <c r="K163" s="1"/>
      <c r="L163" s="25"/>
      <c r="M163" s="25"/>
      <c r="N163" s="1"/>
      <c r="O163" s="1"/>
      <c r="P163" s="1"/>
      <c r="Q163" s="1"/>
      <c r="R163" s="1"/>
    </row>
    <row r="164" spans="1:18" ht="16.5" x14ac:dyDescent="0.3">
      <c r="A164" s="14"/>
      <c r="G164" s="1"/>
      <c r="H164" s="26"/>
      <c r="I164" s="25"/>
      <c r="J164" s="1"/>
      <c r="K164" s="1"/>
      <c r="L164" s="25"/>
      <c r="M164" s="25"/>
      <c r="N164" s="1"/>
      <c r="O164" s="1"/>
      <c r="P164" s="1"/>
      <c r="Q164" s="1"/>
      <c r="R164" s="1"/>
    </row>
    <row r="165" spans="1:18" ht="16.5" x14ac:dyDescent="0.3">
      <c r="A165" s="14"/>
      <c r="G165" s="1"/>
      <c r="H165" s="26"/>
      <c r="I165" s="25"/>
      <c r="J165" s="1"/>
      <c r="K165" s="1"/>
      <c r="L165" s="25"/>
      <c r="M165" s="25"/>
      <c r="N165" s="1"/>
      <c r="O165" s="1"/>
      <c r="P165" s="1"/>
      <c r="Q165" s="1"/>
      <c r="R165" s="1"/>
    </row>
    <row r="166" spans="1:18" ht="16.5" x14ac:dyDescent="0.3">
      <c r="A166" s="14"/>
      <c r="G166" s="1"/>
      <c r="H166" s="26"/>
      <c r="I166" s="25"/>
      <c r="J166" s="1"/>
      <c r="K166" s="1"/>
      <c r="L166" s="25"/>
      <c r="M166" s="25"/>
      <c r="N166" s="1"/>
      <c r="O166" s="1"/>
      <c r="P166" s="1"/>
      <c r="Q166" s="1"/>
      <c r="R166" s="1"/>
    </row>
    <row r="167" spans="1:18" ht="16.5" x14ac:dyDescent="0.3">
      <c r="A167" s="14"/>
      <c r="G167" s="1"/>
      <c r="H167" s="26"/>
      <c r="I167" s="25"/>
      <c r="J167" s="1"/>
      <c r="K167" s="1"/>
      <c r="L167" s="25"/>
      <c r="M167" s="25"/>
      <c r="N167" s="1"/>
      <c r="O167" s="1"/>
      <c r="P167" s="1"/>
      <c r="Q167" s="1"/>
      <c r="R167" s="1"/>
    </row>
    <row r="168" spans="1:18" ht="16.5" x14ac:dyDescent="0.3">
      <c r="A168" s="14"/>
      <c r="G168" s="1"/>
      <c r="H168" s="26"/>
      <c r="I168" s="25"/>
      <c r="J168" s="1"/>
      <c r="K168" s="1"/>
      <c r="L168" s="25"/>
      <c r="M168" s="25"/>
      <c r="N168" s="1"/>
      <c r="O168" s="1"/>
      <c r="P168" s="1"/>
      <c r="Q168" s="1"/>
      <c r="R168" s="1"/>
    </row>
    <row r="169" spans="1:18" ht="16.5" x14ac:dyDescent="0.3">
      <c r="A169" s="14"/>
      <c r="G169" s="1"/>
      <c r="H169" s="26"/>
      <c r="I169" s="25"/>
      <c r="J169" s="1"/>
      <c r="K169" s="1"/>
      <c r="L169" s="25"/>
      <c r="M169" s="25"/>
      <c r="N169" s="1"/>
      <c r="O169" s="1"/>
      <c r="P169" s="1"/>
      <c r="Q169" s="1"/>
      <c r="R169" s="1"/>
    </row>
    <row r="170" spans="1:18" ht="16.5" x14ac:dyDescent="0.3">
      <c r="A170" s="14"/>
      <c r="G170" s="1"/>
      <c r="H170" s="26"/>
      <c r="I170" s="25"/>
      <c r="J170" s="1"/>
      <c r="K170" s="1"/>
      <c r="L170" s="25"/>
      <c r="M170" s="25"/>
      <c r="N170" s="1"/>
      <c r="O170" s="1"/>
      <c r="P170" s="1"/>
      <c r="Q170" s="1"/>
      <c r="R170" s="1"/>
    </row>
    <row r="171" spans="1:18" ht="16.5" x14ac:dyDescent="0.3">
      <c r="A171" s="14"/>
      <c r="G171" s="1"/>
      <c r="H171" s="26"/>
      <c r="I171" s="25"/>
      <c r="J171" s="1"/>
      <c r="K171" s="1"/>
      <c r="L171" s="25"/>
      <c r="M171" s="25"/>
      <c r="N171" s="1"/>
      <c r="O171" s="1"/>
      <c r="P171" s="1"/>
      <c r="Q171" s="1"/>
      <c r="R171" s="1"/>
    </row>
    <row r="172" spans="1:18" ht="16.5" x14ac:dyDescent="0.3">
      <c r="A172" s="14"/>
      <c r="G172" s="1"/>
      <c r="H172" s="26"/>
      <c r="I172" s="25"/>
      <c r="J172" s="1"/>
      <c r="K172" s="1"/>
      <c r="L172" s="25"/>
      <c r="M172" s="25"/>
      <c r="N172" s="1"/>
      <c r="O172" s="1"/>
      <c r="P172" s="1"/>
      <c r="Q172" s="1"/>
      <c r="R172" s="1"/>
    </row>
    <row r="173" spans="1:18" ht="16.5" x14ac:dyDescent="0.3">
      <c r="A173" s="14"/>
      <c r="G173" s="1"/>
      <c r="H173" s="26"/>
      <c r="I173" s="25"/>
      <c r="J173" s="1"/>
      <c r="K173" s="1"/>
      <c r="L173" s="25"/>
      <c r="M173" s="25"/>
      <c r="N173" s="1"/>
      <c r="O173" s="1"/>
      <c r="P173" s="1"/>
      <c r="Q173" s="1"/>
      <c r="R173" s="1"/>
    </row>
    <row r="174" spans="1:18" ht="16.5" x14ac:dyDescent="0.3">
      <c r="A174" s="14"/>
      <c r="G174" s="1"/>
      <c r="H174" s="26"/>
      <c r="I174" s="25"/>
      <c r="J174" s="1"/>
      <c r="K174" s="1"/>
      <c r="L174" s="25"/>
      <c r="M174" s="25"/>
      <c r="N174" s="1"/>
      <c r="O174" s="1"/>
      <c r="P174" s="1"/>
      <c r="Q174" s="1"/>
      <c r="R174" s="1"/>
    </row>
    <row r="175" spans="1:18" ht="16.5" x14ac:dyDescent="0.3">
      <c r="A175" s="14"/>
      <c r="G175" s="1"/>
      <c r="H175" s="26"/>
      <c r="I175" s="25"/>
      <c r="J175" s="1"/>
      <c r="K175" s="1"/>
      <c r="L175" s="25"/>
      <c r="M175" s="25"/>
      <c r="N175" s="1"/>
      <c r="O175" s="1"/>
      <c r="P175" s="1"/>
      <c r="Q175" s="1"/>
      <c r="R175" s="1"/>
    </row>
    <row r="176" spans="1:18" ht="16.5" x14ac:dyDescent="0.3">
      <c r="A176" s="14"/>
      <c r="G176" s="1"/>
      <c r="H176" s="26"/>
      <c r="I176" s="25"/>
      <c r="J176" s="1"/>
      <c r="K176" s="1"/>
      <c r="L176" s="25"/>
      <c r="M176" s="25"/>
      <c r="N176" s="1"/>
      <c r="O176" s="1"/>
      <c r="P176" s="1"/>
      <c r="Q176" s="1"/>
      <c r="R176" s="1"/>
    </row>
    <row r="177" spans="1:18" ht="16.5" x14ac:dyDescent="0.3">
      <c r="A177" s="14"/>
      <c r="G177" s="1"/>
      <c r="H177" s="26"/>
      <c r="I177" s="25"/>
      <c r="J177" s="1"/>
      <c r="K177" s="1"/>
      <c r="L177" s="25"/>
      <c r="M177" s="25"/>
      <c r="N177" s="1"/>
      <c r="O177" s="1"/>
      <c r="P177" s="1"/>
      <c r="Q177" s="1"/>
      <c r="R177" s="1"/>
    </row>
    <row r="178" spans="1:18" ht="16.5" x14ac:dyDescent="0.3">
      <c r="A178" s="14"/>
      <c r="G178" s="1"/>
      <c r="H178" s="26"/>
      <c r="I178" s="25"/>
      <c r="J178" s="1"/>
      <c r="K178" s="1"/>
      <c r="L178" s="25"/>
      <c r="M178" s="25"/>
      <c r="N178" s="1"/>
      <c r="O178" s="1"/>
      <c r="P178" s="1"/>
      <c r="Q178" s="1"/>
      <c r="R178" s="1"/>
    </row>
    <row r="179" spans="1:18" ht="16.5" x14ac:dyDescent="0.3">
      <c r="A179" s="14"/>
      <c r="G179" s="1"/>
      <c r="H179" s="26"/>
      <c r="I179" s="25"/>
      <c r="J179" s="1"/>
      <c r="K179" s="1"/>
      <c r="L179" s="25"/>
      <c r="M179" s="25"/>
      <c r="N179" s="1"/>
      <c r="O179" s="1"/>
      <c r="P179" s="1"/>
      <c r="Q179" s="1"/>
      <c r="R179" s="1"/>
    </row>
    <row r="180" spans="1:18" ht="16.5" x14ac:dyDescent="0.3">
      <c r="A180" s="14"/>
      <c r="G180" s="1"/>
      <c r="H180" s="26"/>
      <c r="I180" s="25"/>
      <c r="J180" s="1"/>
      <c r="K180" s="1"/>
      <c r="L180" s="25"/>
      <c r="M180" s="25"/>
      <c r="N180" s="1"/>
      <c r="O180" s="1"/>
      <c r="P180" s="1"/>
      <c r="Q180" s="1"/>
      <c r="R180" s="1"/>
    </row>
    <row r="181" spans="1:18" ht="16.5" x14ac:dyDescent="0.3">
      <c r="A181" s="14"/>
      <c r="G181" s="1"/>
      <c r="H181" s="26"/>
      <c r="I181" s="25"/>
      <c r="J181" s="1"/>
      <c r="K181" s="1"/>
      <c r="L181" s="25"/>
      <c r="M181" s="25"/>
      <c r="N181" s="1"/>
      <c r="O181" s="1"/>
      <c r="P181" s="1"/>
      <c r="Q181" s="1"/>
      <c r="R181" s="1"/>
    </row>
    <row r="182" spans="1:18" ht="16.5" x14ac:dyDescent="0.3">
      <c r="A182" s="14"/>
      <c r="G182" s="1"/>
      <c r="H182" s="26"/>
      <c r="I182" s="25"/>
      <c r="J182" s="1"/>
      <c r="K182" s="1"/>
      <c r="L182" s="25"/>
      <c r="M182" s="25"/>
      <c r="N182" s="1"/>
      <c r="O182" s="1"/>
      <c r="P182" s="1"/>
      <c r="Q182" s="1"/>
      <c r="R182" s="1"/>
    </row>
    <row r="183" spans="1:18" ht="16.5" x14ac:dyDescent="0.3">
      <c r="A183" s="14"/>
      <c r="G183" s="1"/>
      <c r="H183" s="26"/>
      <c r="I183" s="25"/>
      <c r="J183" s="1"/>
      <c r="K183" s="1"/>
      <c r="L183" s="25"/>
      <c r="M183" s="25"/>
      <c r="N183" s="1"/>
      <c r="O183" s="1"/>
      <c r="P183" s="1"/>
      <c r="Q183" s="1"/>
      <c r="R183" s="1"/>
    </row>
    <row r="184" spans="1:18" ht="16.5" x14ac:dyDescent="0.3">
      <c r="A184" s="14"/>
      <c r="G184" s="1"/>
      <c r="H184" s="26"/>
      <c r="I184" s="25"/>
      <c r="J184" s="1"/>
      <c r="K184" s="1"/>
      <c r="L184" s="25"/>
      <c r="M184" s="25"/>
      <c r="N184" s="1"/>
      <c r="O184" s="1"/>
      <c r="P184" s="1"/>
      <c r="Q184" s="1"/>
      <c r="R184" s="1"/>
    </row>
    <row r="185" spans="1:18" ht="16.5" x14ac:dyDescent="0.3">
      <c r="A185" s="14"/>
      <c r="G185" s="1"/>
      <c r="H185" s="26"/>
      <c r="I185" s="25"/>
      <c r="J185" s="1"/>
      <c r="K185" s="1"/>
      <c r="L185" s="25"/>
      <c r="M185" s="25"/>
      <c r="N185" s="1"/>
      <c r="O185" s="1"/>
      <c r="P185" s="1"/>
      <c r="Q185" s="1"/>
      <c r="R185" s="1"/>
    </row>
    <row r="186" spans="1:18" ht="16.5" x14ac:dyDescent="0.3">
      <c r="A186" s="14"/>
      <c r="G186" s="1"/>
      <c r="H186" s="26"/>
      <c r="I186" s="25"/>
      <c r="J186" s="1"/>
      <c r="K186" s="1"/>
      <c r="L186" s="25"/>
      <c r="M186" s="25"/>
      <c r="N186" s="1"/>
      <c r="O186" s="1"/>
      <c r="P186" s="1"/>
      <c r="Q186" s="1"/>
      <c r="R186" s="1"/>
    </row>
    <row r="187" spans="1:18" ht="16.5" x14ac:dyDescent="0.3">
      <c r="A187" s="14"/>
      <c r="G187" s="1"/>
      <c r="H187" s="26"/>
      <c r="I187" s="25"/>
      <c r="J187" s="1"/>
      <c r="K187" s="1"/>
      <c r="L187" s="25"/>
      <c r="M187" s="25"/>
      <c r="N187" s="1"/>
      <c r="O187" s="1"/>
      <c r="P187" s="1"/>
      <c r="Q187" s="1"/>
      <c r="R187" s="1"/>
    </row>
    <row r="188" spans="1:18" ht="16.5" x14ac:dyDescent="0.3">
      <c r="A188" s="14"/>
      <c r="G188" s="1"/>
      <c r="H188" s="26"/>
      <c r="I188" s="25"/>
      <c r="J188" s="1"/>
      <c r="K188" s="1"/>
      <c r="L188" s="25"/>
      <c r="M188" s="25"/>
      <c r="N188" s="1"/>
      <c r="O188" s="1"/>
      <c r="P188" s="1"/>
      <c r="Q188" s="1"/>
      <c r="R188" s="1"/>
    </row>
    <row r="189" spans="1:18" ht="16.5" x14ac:dyDescent="0.3">
      <c r="A189" s="14"/>
      <c r="G189" s="1"/>
      <c r="H189" s="26"/>
      <c r="I189" s="25"/>
      <c r="J189" s="1"/>
      <c r="K189" s="1"/>
      <c r="L189" s="25"/>
      <c r="M189" s="25"/>
      <c r="N189" s="1"/>
      <c r="O189" s="1"/>
      <c r="P189" s="1"/>
      <c r="Q189" s="1"/>
      <c r="R189" s="1"/>
    </row>
    <row r="190" spans="1:18" ht="16.5" x14ac:dyDescent="0.3">
      <c r="A190" s="14"/>
      <c r="G190" s="1"/>
      <c r="H190" s="26"/>
      <c r="I190" s="25"/>
      <c r="J190" s="1"/>
      <c r="K190" s="1"/>
      <c r="L190" s="25"/>
      <c r="M190" s="25"/>
      <c r="N190" s="1"/>
      <c r="O190" s="1"/>
      <c r="P190" s="1"/>
      <c r="Q190" s="1"/>
      <c r="R190" s="1"/>
    </row>
    <row r="191" spans="1:18" ht="16.5" x14ac:dyDescent="0.3">
      <c r="A191" s="14"/>
      <c r="G191" s="1"/>
      <c r="H191" s="26"/>
      <c r="I191" s="25"/>
      <c r="J191" s="1"/>
      <c r="K191" s="1"/>
      <c r="L191" s="25"/>
      <c r="M191" s="25"/>
      <c r="N191" s="1"/>
      <c r="O191" s="1"/>
      <c r="P191" s="1"/>
      <c r="Q191" s="1"/>
      <c r="R191" s="1"/>
    </row>
    <row r="192" spans="1:18" ht="16.5" x14ac:dyDescent="0.3">
      <c r="A192" s="14"/>
      <c r="G192" s="1"/>
      <c r="H192" s="26"/>
      <c r="I192" s="25"/>
      <c r="J192" s="1"/>
      <c r="K192" s="1"/>
      <c r="L192" s="25"/>
      <c r="M192" s="25"/>
      <c r="N192" s="1"/>
      <c r="O192" s="1"/>
      <c r="P192" s="1"/>
      <c r="Q192" s="1"/>
      <c r="R192" s="1"/>
    </row>
    <row r="193" spans="1:18" ht="16.5" x14ac:dyDescent="0.3">
      <c r="A193" s="14"/>
      <c r="G193" s="1"/>
      <c r="H193" s="26"/>
      <c r="I193" s="25"/>
      <c r="J193" s="1"/>
      <c r="K193" s="1"/>
      <c r="L193" s="25"/>
      <c r="M193" s="25"/>
      <c r="N193" s="1"/>
      <c r="O193" s="1"/>
      <c r="P193" s="1"/>
      <c r="Q193" s="1"/>
      <c r="R193" s="1"/>
    </row>
    <row r="194" spans="1:18" ht="16.5" x14ac:dyDescent="0.3">
      <c r="A194" s="14"/>
      <c r="G194" s="1"/>
      <c r="H194" s="26"/>
      <c r="I194" s="25"/>
      <c r="J194" s="1"/>
      <c r="K194" s="1"/>
      <c r="L194" s="25"/>
      <c r="M194" s="25"/>
      <c r="N194" s="1"/>
      <c r="O194" s="1"/>
      <c r="P194" s="1"/>
      <c r="Q194" s="1"/>
      <c r="R194" s="1"/>
    </row>
    <row r="195" spans="1:18" ht="16.5" x14ac:dyDescent="0.3">
      <c r="A195" s="14"/>
      <c r="G195" s="1"/>
      <c r="H195" s="26"/>
      <c r="I195" s="25"/>
      <c r="J195" s="1"/>
      <c r="K195" s="1"/>
      <c r="L195" s="25"/>
      <c r="M195" s="25"/>
      <c r="N195" s="1"/>
      <c r="O195" s="1"/>
      <c r="P195" s="1"/>
      <c r="Q195" s="1"/>
      <c r="R195" s="1"/>
    </row>
    <row r="196" spans="1:18" ht="16.5" x14ac:dyDescent="0.3">
      <c r="A196" s="14"/>
      <c r="G196" s="1"/>
      <c r="H196" s="26"/>
      <c r="I196" s="25"/>
      <c r="J196" s="1"/>
      <c r="K196" s="1"/>
      <c r="L196" s="25"/>
      <c r="M196" s="25"/>
      <c r="N196" s="1"/>
      <c r="O196" s="1"/>
      <c r="P196" s="1"/>
      <c r="Q196" s="1"/>
      <c r="R196" s="1"/>
    </row>
    <row r="197" spans="1:18" ht="16.5" x14ac:dyDescent="0.3">
      <c r="A197" s="14"/>
      <c r="G197" s="1"/>
      <c r="H197" s="26"/>
      <c r="I197" s="25"/>
      <c r="J197" s="1"/>
      <c r="K197" s="1"/>
      <c r="L197" s="25"/>
      <c r="M197" s="25"/>
      <c r="N197" s="1"/>
      <c r="O197" s="1"/>
      <c r="P197" s="1"/>
      <c r="Q197" s="1"/>
      <c r="R197" s="1"/>
    </row>
    <row r="198" spans="1:18" ht="16.5" x14ac:dyDescent="0.3">
      <c r="A198" s="14"/>
      <c r="G198" s="1"/>
      <c r="H198" s="26"/>
      <c r="I198" s="25"/>
      <c r="J198" s="1"/>
      <c r="K198" s="1"/>
      <c r="L198" s="25"/>
      <c r="M198" s="25"/>
      <c r="N198" s="1"/>
      <c r="O198" s="1"/>
      <c r="P198" s="1"/>
      <c r="Q198" s="1"/>
      <c r="R198" s="1"/>
    </row>
    <row r="199" spans="1:18" ht="16.5" x14ac:dyDescent="0.3">
      <c r="A199" s="14"/>
      <c r="G199" s="1"/>
      <c r="H199" s="26"/>
      <c r="I199" s="25"/>
      <c r="J199" s="1"/>
      <c r="K199" s="1"/>
      <c r="L199" s="25"/>
      <c r="M199" s="25"/>
      <c r="N199" s="1"/>
      <c r="O199" s="1"/>
      <c r="P199" s="1"/>
      <c r="Q199" s="1"/>
      <c r="R199" s="1"/>
    </row>
    <row r="200" spans="1:18" ht="16.5" x14ac:dyDescent="0.3">
      <c r="A200" s="14"/>
      <c r="G200" s="1"/>
      <c r="H200" s="26"/>
      <c r="I200" s="25"/>
      <c r="J200" s="1"/>
      <c r="K200" s="1"/>
      <c r="L200" s="25"/>
      <c r="M200" s="25"/>
      <c r="N200" s="1"/>
      <c r="O200" s="1"/>
      <c r="P200" s="1"/>
      <c r="Q200" s="1"/>
      <c r="R200" s="1"/>
    </row>
    <row r="201" spans="1:18" ht="16.5" x14ac:dyDescent="0.3">
      <c r="A201" s="14"/>
      <c r="G201" s="1"/>
      <c r="H201" s="26"/>
      <c r="I201" s="25"/>
      <c r="J201" s="1"/>
      <c r="K201" s="1"/>
      <c r="L201" s="25"/>
      <c r="M201" s="25"/>
      <c r="N201" s="1"/>
      <c r="O201" s="1"/>
      <c r="P201" s="1"/>
      <c r="Q201" s="1"/>
      <c r="R201" s="1"/>
    </row>
    <row r="202" spans="1:18" ht="16.5" x14ac:dyDescent="0.3">
      <c r="A202" s="14"/>
      <c r="G202" s="1"/>
      <c r="H202" s="26"/>
      <c r="I202" s="25"/>
      <c r="J202" s="1"/>
      <c r="K202" s="1"/>
      <c r="L202" s="25"/>
      <c r="M202" s="25"/>
      <c r="N202" s="1"/>
      <c r="O202" s="1"/>
      <c r="P202" s="1"/>
      <c r="Q202" s="1"/>
      <c r="R202" s="1"/>
    </row>
    <row r="203" spans="1:18" ht="16.5" x14ac:dyDescent="0.3">
      <c r="A203" s="14"/>
      <c r="G203" s="1"/>
      <c r="H203" s="26"/>
      <c r="I203" s="25"/>
      <c r="J203" s="1"/>
      <c r="K203" s="1"/>
      <c r="L203" s="25"/>
      <c r="M203" s="25"/>
      <c r="N203" s="1"/>
      <c r="O203" s="1"/>
      <c r="P203" s="1"/>
      <c r="Q203" s="1"/>
      <c r="R203" s="1"/>
    </row>
    <row r="204" spans="1:18" ht="16.5" x14ac:dyDescent="0.3">
      <c r="A204" s="14"/>
      <c r="G204" s="1"/>
      <c r="H204" s="26"/>
      <c r="I204" s="25"/>
      <c r="J204" s="1"/>
      <c r="K204" s="1"/>
      <c r="L204" s="25"/>
      <c r="M204" s="25"/>
      <c r="N204" s="1"/>
      <c r="O204" s="1"/>
      <c r="P204" s="1"/>
      <c r="Q204" s="1"/>
      <c r="R204" s="1"/>
    </row>
    <row r="205" spans="1:18" ht="16.5" x14ac:dyDescent="0.3">
      <c r="A205" s="14"/>
      <c r="G205" s="1"/>
      <c r="H205" s="26"/>
      <c r="I205" s="25"/>
      <c r="J205" s="1"/>
      <c r="K205" s="1"/>
      <c r="L205" s="25"/>
      <c r="M205" s="25"/>
      <c r="N205" s="1"/>
      <c r="O205" s="1"/>
      <c r="P205" s="1"/>
      <c r="Q205" s="1"/>
      <c r="R205" s="1"/>
    </row>
    <row r="206" spans="1:18" ht="16.5" x14ac:dyDescent="0.3">
      <c r="A206" s="14"/>
      <c r="G206" s="1"/>
      <c r="H206" s="26"/>
      <c r="I206" s="25"/>
      <c r="J206" s="1"/>
      <c r="K206" s="1"/>
      <c r="L206" s="25"/>
      <c r="M206" s="25"/>
      <c r="N206" s="1"/>
      <c r="O206" s="1"/>
      <c r="P206" s="1"/>
      <c r="Q206" s="1"/>
      <c r="R206" s="1"/>
    </row>
    <row r="207" spans="1:18" ht="16.5" x14ac:dyDescent="0.3">
      <c r="A207" s="14"/>
      <c r="G207" s="1"/>
      <c r="H207" s="26"/>
      <c r="I207" s="25"/>
      <c r="J207" s="1"/>
      <c r="K207" s="1"/>
      <c r="L207" s="25"/>
      <c r="M207" s="25"/>
      <c r="N207" s="1"/>
      <c r="O207" s="1"/>
      <c r="P207" s="1"/>
      <c r="Q207" s="1"/>
      <c r="R207" s="1"/>
    </row>
    <row r="208" spans="1:18" ht="16.5" x14ac:dyDescent="0.3">
      <c r="A208" s="14"/>
      <c r="G208" s="1"/>
      <c r="H208" s="26"/>
      <c r="I208" s="25"/>
      <c r="J208" s="1"/>
      <c r="K208" s="1"/>
      <c r="L208" s="25"/>
      <c r="M208" s="25"/>
      <c r="N208" s="1"/>
      <c r="O208" s="1"/>
      <c r="P208" s="1"/>
      <c r="Q208" s="1"/>
      <c r="R208" s="1"/>
    </row>
    <row r="209" spans="1:18" ht="16.5" x14ac:dyDescent="0.3">
      <c r="A209" s="14"/>
      <c r="G209" s="1"/>
      <c r="H209" s="26"/>
      <c r="I209" s="25"/>
      <c r="J209" s="1"/>
      <c r="K209" s="1"/>
      <c r="L209" s="25"/>
      <c r="M209" s="25"/>
      <c r="N209" s="1"/>
      <c r="O209" s="1"/>
      <c r="P209" s="1"/>
      <c r="Q209" s="1"/>
      <c r="R209" s="1"/>
    </row>
    <row r="210" spans="1:18" ht="16.5" x14ac:dyDescent="0.3">
      <c r="A210" s="14"/>
      <c r="G210" s="1"/>
      <c r="H210" s="26"/>
      <c r="I210" s="25"/>
      <c r="J210" s="1"/>
      <c r="K210" s="1"/>
      <c r="L210" s="25"/>
      <c r="M210" s="25"/>
      <c r="N210" s="1"/>
      <c r="O210" s="1"/>
      <c r="P210" s="1"/>
      <c r="Q210" s="1"/>
      <c r="R210" s="1"/>
    </row>
    <row r="211" spans="1:18" ht="16.5" x14ac:dyDescent="0.3">
      <c r="A211" s="14"/>
      <c r="G211" s="1"/>
      <c r="H211" s="26"/>
      <c r="I211" s="25"/>
      <c r="J211" s="1"/>
      <c r="K211" s="1"/>
      <c r="L211" s="25"/>
      <c r="M211" s="25"/>
      <c r="N211" s="1"/>
      <c r="O211" s="1"/>
      <c r="P211" s="1"/>
      <c r="Q211" s="1"/>
      <c r="R211" s="1"/>
    </row>
    <row r="212" spans="1:18" ht="16.5" x14ac:dyDescent="0.3">
      <c r="A212" s="14"/>
      <c r="G212" s="1"/>
      <c r="H212" s="26"/>
      <c r="I212" s="25"/>
      <c r="J212" s="1"/>
      <c r="K212" s="1"/>
      <c r="L212" s="25"/>
      <c r="M212" s="25"/>
      <c r="N212" s="1"/>
      <c r="O212" s="1"/>
      <c r="P212" s="1"/>
      <c r="Q212" s="1"/>
      <c r="R212" s="1"/>
    </row>
    <row r="213" spans="1:18" ht="16.5" x14ac:dyDescent="0.3">
      <c r="A213" s="14"/>
      <c r="G213" s="1"/>
      <c r="H213" s="26"/>
      <c r="I213" s="25"/>
      <c r="J213" s="1"/>
      <c r="K213" s="1"/>
      <c r="L213" s="25"/>
      <c r="M213" s="25"/>
      <c r="N213" s="1"/>
      <c r="O213" s="1"/>
      <c r="P213" s="1"/>
      <c r="Q213" s="1"/>
      <c r="R213" s="1"/>
    </row>
    <row r="214" spans="1:18" ht="16.5" x14ac:dyDescent="0.3">
      <c r="A214" s="14"/>
      <c r="G214" s="1"/>
      <c r="H214" s="26"/>
      <c r="I214" s="25"/>
      <c r="J214" s="1"/>
      <c r="K214" s="1"/>
      <c r="L214" s="25"/>
      <c r="M214" s="25"/>
      <c r="N214" s="1"/>
      <c r="O214" s="1"/>
      <c r="P214" s="1"/>
      <c r="Q214" s="1"/>
      <c r="R214" s="1"/>
    </row>
    <row r="215" spans="1:18" ht="16.5" x14ac:dyDescent="0.3">
      <c r="A215" s="14"/>
      <c r="G215" s="1"/>
      <c r="H215" s="26"/>
      <c r="I215" s="25"/>
      <c r="J215" s="1"/>
      <c r="K215" s="1"/>
      <c r="L215" s="25"/>
      <c r="M215" s="25"/>
      <c r="N215" s="1"/>
      <c r="O215" s="1"/>
      <c r="P215" s="1"/>
      <c r="Q215" s="1"/>
      <c r="R215" s="1"/>
    </row>
    <row r="216" spans="1:18" ht="16.5" x14ac:dyDescent="0.3">
      <c r="A216" s="14"/>
      <c r="G216" s="1"/>
      <c r="H216" s="26"/>
      <c r="I216" s="25"/>
      <c r="J216" s="1"/>
      <c r="K216" s="1"/>
      <c r="L216" s="25"/>
      <c r="M216" s="25"/>
      <c r="N216" s="1"/>
      <c r="O216" s="1"/>
      <c r="P216" s="1"/>
      <c r="Q216" s="1"/>
      <c r="R216" s="1"/>
    </row>
    <row r="217" spans="1:18" ht="16.5" x14ac:dyDescent="0.3">
      <c r="A217" s="14"/>
      <c r="G217" s="1"/>
      <c r="H217" s="26"/>
      <c r="I217" s="25"/>
      <c r="J217" s="1"/>
      <c r="K217" s="1"/>
      <c r="L217" s="25"/>
      <c r="M217" s="25"/>
      <c r="N217" s="1"/>
      <c r="O217" s="1"/>
      <c r="P217" s="1"/>
      <c r="Q217" s="1"/>
      <c r="R217" s="1"/>
    </row>
    <row r="218" spans="1:18" ht="16.5" x14ac:dyDescent="0.3">
      <c r="A218" s="14"/>
      <c r="G218" s="1"/>
      <c r="H218" s="26"/>
      <c r="I218" s="25"/>
      <c r="J218" s="1"/>
      <c r="K218" s="1"/>
      <c r="L218" s="25"/>
      <c r="M218" s="25"/>
      <c r="N218" s="1"/>
      <c r="O218" s="1"/>
      <c r="P218" s="1"/>
      <c r="Q218" s="1"/>
      <c r="R218" s="1"/>
    </row>
    <row r="219" spans="1:18" ht="16.5" x14ac:dyDescent="0.3">
      <c r="A219" s="14"/>
      <c r="G219" s="1"/>
      <c r="H219" s="26"/>
      <c r="I219" s="25"/>
      <c r="J219" s="1"/>
      <c r="K219" s="1"/>
      <c r="L219" s="25"/>
      <c r="M219" s="25"/>
      <c r="N219" s="1"/>
      <c r="O219" s="1"/>
      <c r="P219" s="1"/>
      <c r="Q219" s="1"/>
      <c r="R219" s="1"/>
    </row>
    <row r="220" spans="1:18" ht="16.5" x14ac:dyDescent="0.3">
      <c r="A220" s="14"/>
      <c r="G220" s="1"/>
      <c r="H220" s="26"/>
      <c r="I220" s="25"/>
      <c r="J220" s="1"/>
      <c r="K220" s="1"/>
      <c r="L220" s="25"/>
      <c r="M220" s="25"/>
      <c r="N220" s="1"/>
      <c r="O220" s="1"/>
      <c r="P220" s="1"/>
      <c r="Q220" s="1"/>
      <c r="R220" s="1"/>
    </row>
    <row r="221" spans="1:18" ht="16.5" x14ac:dyDescent="0.3">
      <c r="A221" s="14"/>
      <c r="G221" s="1"/>
      <c r="H221" s="26"/>
      <c r="I221" s="25"/>
      <c r="J221" s="1"/>
      <c r="K221" s="1"/>
      <c r="L221" s="25"/>
      <c r="M221" s="25"/>
      <c r="N221" s="1"/>
      <c r="O221" s="1"/>
      <c r="P221" s="1"/>
      <c r="Q221" s="1"/>
      <c r="R221" s="1"/>
    </row>
    <row r="222" spans="1:18" ht="16.5" x14ac:dyDescent="0.3">
      <c r="A222" s="14"/>
      <c r="G222" s="1"/>
      <c r="H222" s="26"/>
      <c r="I222" s="25"/>
      <c r="J222" s="1"/>
      <c r="K222" s="1"/>
      <c r="L222" s="25"/>
      <c r="M222" s="25"/>
      <c r="N222" s="1"/>
      <c r="O222" s="1"/>
      <c r="P222" s="1"/>
      <c r="Q222" s="1"/>
      <c r="R222" s="1"/>
    </row>
    <row r="223" spans="1:18" ht="16.5" x14ac:dyDescent="0.3">
      <c r="A223" s="14"/>
      <c r="G223" s="1"/>
      <c r="H223" s="26"/>
      <c r="I223" s="25"/>
      <c r="J223" s="1"/>
      <c r="K223" s="1"/>
      <c r="L223" s="25"/>
      <c r="M223" s="25"/>
      <c r="N223" s="1"/>
      <c r="O223" s="1"/>
      <c r="P223" s="1"/>
      <c r="Q223" s="1"/>
      <c r="R223" s="1"/>
    </row>
    <row r="224" spans="1:18" ht="16.5" x14ac:dyDescent="0.3">
      <c r="A224" s="14"/>
      <c r="G224" s="1"/>
      <c r="H224" s="26"/>
      <c r="I224" s="25"/>
      <c r="J224" s="1"/>
      <c r="K224" s="1"/>
      <c r="L224" s="25"/>
      <c r="M224" s="25"/>
      <c r="N224" s="1"/>
      <c r="O224" s="1"/>
      <c r="P224" s="1"/>
      <c r="Q224" s="1"/>
      <c r="R224" s="1"/>
    </row>
    <row r="225" spans="1:18" ht="16.5" x14ac:dyDescent="0.3">
      <c r="A225" s="14"/>
      <c r="G225" s="1"/>
      <c r="H225" s="26"/>
      <c r="I225" s="25"/>
      <c r="J225" s="1"/>
      <c r="K225" s="1"/>
      <c r="L225" s="25"/>
      <c r="M225" s="25"/>
      <c r="N225" s="1"/>
      <c r="O225" s="1"/>
      <c r="P225" s="1"/>
      <c r="Q225" s="1"/>
      <c r="R225" s="1"/>
    </row>
    <row r="226" spans="1:18" ht="16.5" x14ac:dyDescent="0.3">
      <c r="A226" s="14"/>
      <c r="G226" s="1"/>
      <c r="H226" s="26"/>
      <c r="I226" s="25"/>
      <c r="J226" s="1"/>
      <c r="K226" s="1"/>
      <c r="L226" s="25"/>
      <c r="M226" s="25"/>
      <c r="N226" s="1"/>
      <c r="O226" s="1"/>
      <c r="P226" s="1"/>
      <c r="Q226" s="1"/>
      <c r="R226" s="1"/>
    </row>
    <row r="227" spans="1:18" ht="16.5" x14ac:dyDescent="0.3">
      <c r="A227" s="14"/>
      <c r="G227" s="1"/>
      <c r="H227" s="26"/>
      <c r="I227" s="25"/>
      <c r="J227" s="1"/>
      <c r="K227" s="1"/>
      <c r="L227" s="25"/>
      <c r="M227" s="25"/>
      <c r="N227" s="1"/>
      <c r="O227" s="1"/>
      <c r="P227" s="1"/>
      <c r="Q227" s="1"/>
      <c r="R227" s="1"/>
    </row>
    <row r="228" spans="1:18" ht="16.5" x14ac:dyDescent="0.3">
      <c r="A228" s="14"/>
      <c r="G228" s="1"/>
      <c r="H228" s="26"/>
      <c r="I228" s="25"/>
      <c r="J228" s="1"/>
      <c r="K228" s="1"/>
      <c r="L228" s="25"/>
      <c r="M228" s="25"/>
      <c r="N228" s="1"/>
      <c r="O228" s="1"/>
      <c r="P228" s="1"/>
      <c r="Q228" s="1"/>
      <c r="R228" s="1"/>
    </row>
    <row r="229" spans="1:18" ht="16.5" x14ac:dyDescent="0.3">
      <c r="A229" s="14"/>
      <c r="G229" s="1"/>
      <c r="H229" s="26"/>
      <c r="I229" s="25"/>
      <c r="J229" s="1"/>
      <c r="K229" s="1"/>
      <c r="L229" s="25"/>
      <c r="M229" s="25"/>
      <c r="N229" s="1"/>
      <c r="O229" s="1"/>
      <c r="P229" s="1"/>
      <c r="Q229" s="1"/>
      <c r="R229" s="1"/>
    </row>
    <row r="230" spans="1:18" ht="16.5" x14ac:dyDescent="0.3">
      <c r="A230" s="14"/>
      <c r="G230" s="1"/>
      <c r="H230" s="26"/>
      <c r="I230" s="25"/>
      <c r="J230" s="1"/>
      <c r="K230" s="1"/>
      <c r="L230" s="25"/>
      <c r="M230" s="25"/>
      <c r="N230" s="1"/>
      <c r="O230" s="1"/>
      <c r="P230" s="1"/>
      <c r="Q230" s="1"/>
      <c r="R230" s="1"/>
    </row>
    <row r="231" spans="1:18" ht="16.5" x14ac:dyDescent="0.3">
      <c r="A231" s="14"/>
      <c r="G231" s="1"/>
      <c r="H231" s="26"/>
      <c r="I231" s="25"/>
      <c r="J231" s="1"/>
      <c r="K231" s="1"/>
      <c r="L231" s="25"/>
      <c r="M231" s="25"/>
      <c r="N231" s="1"/>
      <c r="O231" s="1"/>
      <c r="P231" s="1"/>
      <c r="Q231" s="1"/>
      <c r="R231" s="1"/>
    </row>
    <row r="232" spans="1:18" ht="16.5" x14ac:dyDescent="0.3">
      <c r="A232" s="14"/>
      <c r="G232" s="1"/>
      <c r="H232" s="26"/>
      <c r="I232" s="25"/>
      <c r="J232" s="1"/>
      <c r="K232" s="1"/>
      <c r="L232" s="25"/>
      <c r="M232" s="25"/>
      <c r="N232" s="1"/>
      <c r="O232" s="1"/>
      <c r="P232" s="1"/>
      <c r="Q232" s="1"/>
      <c r="R232" s="1"/>
    </row>
    <row r="233" spans="1:18" ht="16.5" x14ac:dyDescent="0.3">
      <c r="A233" s="14"/>
      <c r="G233" s="1"/>
      <c r="H233" s="26"/>
      <c r="I233" s="25"/>
      <c r="J233" s="1"/>
      <c r="K233" s="1"/>
      <c r="L233" s="25"/>
      <c r="M233" s="25"/>
      <c r="N233" s="1"/>
      <c r="O233" s="1"/>
      <c r="P233" s="1"/>
      <c r="Q233" s="1"/>
      <c r="R233" s="1"/>
    </row>
    <row r="234" spans="1:18" ht="16.5" x14ac:dyDescent="0.3">
      <c r="A234" s="14"/>
      <c r="G234" s="1"/>
      <c r="H234" s="26"/>
      <c r="I234" s="25"/>
      <c r="J234" s="1"/>
      <c r="K234" s="1"/>
      <c r="L234" s="25"/>
      <c r="M234" s="25"/>
      <c r="N234" s="1"/>
      <c r="O234" s="1"/>
      <c r="P234" s="1"/>
      <c r="Q234" s="1"/>
      <c r="R234" s="1"/>
    </row>
    <row r="235" spans="1:18" ht="16.5" x14ac:dyDescent="0.3">
      <c r="A235" s="14"/>
      <c r="G235" s="1"/>
      <c r="H235" s="26"/>
      <c r="I235" s="25"/>
      <c r="J235" s="1"/>
      <c r="K235" s="1"/>
      <c r="L235" s="25"/>
      <c r="M235" s="25"/>
      <c r="N235" s="1"/>
      <c r="O235" s="1"/>
      <c r="P235" s="1"/>
      <c r="Q235" s="1"/>
      <c r="R235" s="1"/>
    </row>
    <row r="236" spans="1:18" ht="16.5" x14ac:dyDescent="0.3">
      <c r="A236" s="14"/>
      <c r="G236" s="1"/>
      <c r="H236" s="26"/>
      <c r="I236" s="25"/>
      <c r="J236" s="1"/>
      <c r="K236" s="1"/>
      <c r="L236" s="25"/>
      <c r="M236" s="25"/>
      <c r="N236" s="1"/>
      <c r="O236" s="1"/>
      <c r="P236" s="1"/>
      <c r="Q236" s="1"/>
      <c r="R236" s="1"/>
    </row>
    <row r="237" spans="1:18" ht="16.5" x14ac:dyDescent="0.3">
      <c r="A237" s="14"/>
      <c r="G237" s="1"/>
      <c r="H237" s="26"/>
      <c r="I237" s="25"/>
      <c r="J237" s="1"/>
      <c r="K237" s="1"/>
      <c r="L237" s="25"/>
      <c r="M237" s="25"/>
      <c r="N237" s="1"/>
      <c r="O237" s="1"/>
      <c r="P237" s="1"/>
      <c r="Q237" s="1"/>
      <c r="R237" s="1"/>
    </row>
    <row r="238" spans="1:18" ht="16.5" x14ac:dyDescent="0.3">
      <c r="A238" s="14"/>
      <c r="G238" s="1"/>
      <c r="H238" s="26"/>
      <c r="I238" s="25"/>
      <c r="J238" s="1"/>
      <c r="K238" s="1"/>
      <c r="L238" s="25"/>
      <c r="M238" s="25"/>
      <c r="N238" s="1"/>
      <c r="O238" s="1"/>
      <c r="P238" s="1"/>
      <c r="Q238" s="1"/>
      <c r="R238" s="1"/>
    </row>
    <row r="239" spans="1:18" ht="16.5" x14ac:dyDescent="0.3">
      <c r="A239" s="14"/>
      <c r="G239" s="1"/>
      <c r="H239" s="26"/>
      <c r="I239" s="25"/>
      <c r="J239" s="1"/>
      <c r="K239" s="1"/>
      <c r="L239" s="25"/>
      <c r="M239" s="25"/>
      <c r="N239" s="1"/>
      <c r="O239" s="1"/>
      <c r="P239" s="1"/>
      <c r="Q239" s="1"/>
      <c r="R239" s="1"/>
    </row>
    <row r="240" spans="1:18" ht="16.5" x14ac:dyDescent="0.3">
      <c r="A240" s="14"/>
      <c r="G240" s="1"/>
      <c r="H240" s="26"/>
      <c r="I240" s="25"/>
      <c r="J240" s="1"/>
      <c r="K240" s="1"/>
      <c r="L240" s="25"/>
      <c r="M240" s="25"/>
      <c r="N240" s="1"/>
      <c r="O240" s="1"/>
      <c r="P240" s="1"/>
      <c r="Q240" s="1"/>
      <c r="R240" s="1"/>
    </row>
    <row r="241" spans="1:18" ht="16.5" x14ac:dyDescent="0.3">
      <c r="A241" s="14"/>
      <c r="G241" s="1"/>
      <c r="H241" s="26"/>
      <c r="I241" s="25"/>
      <c r="J241" s="1"/>
      <c r="K241" s="1"/>
      <c r="L241" s="25"/>
      <c r="M241" s="25"/>
      <c r="N241" s="1"/>
      <c r="O241" s="1"/>
      <c r="P241" s="1"/>
      <c r="Q241" s="1"/>
      <c r="R241" s="1"/>
    </row>
    <row r="242" spans="1:18" ht="16.5" x14ac:dyDescent="0.3">
      <c r="A242" s="14"/>
      <c r="G242" s="1"/>
      <c r="H242" s="26"/>
      <c r="I242" s="25"/>
      <c r="J242" s="1"/>
      <c r="K242" s="1"/>
      <c r="L242" s="25"/>
      <c r="M242" s="25"/>
      <c r="N242" s="1"/>
      <c r="O242" s="1"/>
      <c r="P242" s="1"/>
      <c r="Q242" s="1"/>
      <c r="R242" s="1"/>
    </row>
    <row r="243" spans="1:18" ht="16.5" x14ac:dyDescent="0.3">
      <c r="A243" s="14"/>
      <c r="G243" s="1"/>
      <c r="H243" s="26"/>
      <c r="I243" s="25"/>
      <c r="J243" s="1"/>
      <c r="K243" s="1"/>
      <c r="L243" s="25"/>
      <c r="M243" s="25"/>
      <c r="N243" s="1"/>
      <c r="O243" s="1"/>
      <c r="P243" s="1"/>
      <c r="Q243" s="1"/>
      <c r="R243" s="1"/>
    </row>
    <row r="244" spans="1:18" ht="16.5" x14ac:dyDescent="0.3">
      <c r="A244" s="14"/>
      <c r="G244" s="1"/>
      <c r="H244" s="26"/>
      <c r="I244" s="25"/>
      <c r="J244" s="1"/>
      <c r="K244" s="1"/>
      <c r="L244" s="25"/>
      <c r="M244" s="25"/>
      <c r="N244" s="1"/>
      <c r="O244" s="1"/>
      <c r="P244" s="1"/>
      <c r="Q244" s="1"/>
      <c r="R244" s="1"/>
    </row>
    <row r="245" spans="1:18" ht="16.5" x14ac:dyDescent="0.3">
      <c r="A245" s="14"/>
      <c r="G245" s="1"/>
      <c r="H245" s="26"/>
      <c r="I245" s="25"/>
      <c r="J245" s="1"/>
      <c r="K245" s="1"/>
      <c r="L245" s="25"/>
      <c r="M245" s="25"/>
      <c r="N245" s="1"/>
      <c r="O245" s="1"/>
      <c r="P245" s="1"/>
      <c r="Q245" s="1"/>
      <c r="R245" s="1"/>
    </row>
    <row r="246" spans="1:18" ht="16.5" x14ac:dyDescent="0.3">
      <c r="A246" s="14"/>
      <c r="G246" s="1"/>
      <c r="H246" s="26"/>
      <c r="I246" s="25"/>
      <c r="J246" s="1"/>
      <c r="K246" s="1"/>
      <c r="L246" s="25"/>
      <c r="M246" s="25"/>
      <c r="N246" s="1"/>
      <c r="O246" s="1"/>
      <c r="P246" s="1"/>
      <c r="Q246" s="1"/>
      <c r="R246" s="1"/>
    </row>
    <row r="247" spans="1:18" ht="16.5" x14ac:dyDescent="0.3">
      <c r="A247" s="14"/>
      <c r="G247" s="1"/>
      <c r="H247" s="26"/>
      <c r="I247" s="25"/>
      <c r="J247" s="1"/>
      <c r="K247" s="1"/>
      <c r="L247" s="25"/>
      <c r="M247" s="25"/>
      <c r="N247" s="1"/>
      <c r="O247" s="1"/>
      <c r="P247" s="1"/>
      <c r="Q247" s="1"/>
      <c r="R247" s="1"/>
    </row>
    <row r="248" spans="1:18" ht="16.5" x14ac:dyDescent="0.3">
      <c r="A248" s="14"/>
      <c r="G248" s="1"/>
      <c r="H248" s="26"/>
      <c r="I248" s="25"/>
      <c r="J248" s="1"/>
      <c r="K248" s="1"/>
      <c r="L248" s="25"/>
      <c r="M248" s="25"/>
      <c r="N248" s="1"/>
      <c r="O248" s="1"/>
      <c r="P248" s="1"/>
      <c r="Q248" s="1"/>
      <c r="R248" s="1"/>
    </row>
    <row r="249" spans="1:18" ht="16.5" x14ac:dyDescent="0.3">
      <c r="A249" s="14"/>
      <c r="G249" s="1"/>
      <c r="H249" s="26"/>
      <c r="I249" s="25"/>
      <c r="J249" s="1"/>
      <c r="K249" s="1"/>
      <c r="L249" s="25"/>
      <c r="M249" s="25"/>
      <c r="N249" s="1"/>
      <c r="O249" s="1"/>
      <c r="P249" s="1"/>
      <c r="Q249" s="1"/>
      <c r="R249" s="1"/>
    </row>
    <row r="250" spans="1:18" ht="16.5" x14ac:dyDescent="0.3">
      <c r="A250" s="14"/>
      <c r="G250" s="1"/>
      <c r="H250" s="26"/>
      <c r="I250" s="25"/>
      <c r="J250" s="1"/>
      <c r="K250" s="1"/>
      <c r="L250" s="25"/>
      <c r="M250" s="25"/>
      <c r="N250" s="1"/>
      <c r="O250" s="1"/>
      <c r="P250" s="1"/>
      <c r="Q250" s="1"/>
      <c r="R250" s="1"/>
    </row>
    <row r="251" spans="1:18" ht="16.5" x14ac:dyDescent="0.3">
      <c r="A251" s="14"/>
      <c r="G251" s="1"/>
      <c r="H251" s="26"/>
      <c r="I251" s="25"/>
      <c r="J251" s="1"/>
      <c r="K251" s="1"/>
      <c r="L251" s="25"/>
      <c r="M251" s="25"/>
      <c r="N251" s="1"/>
      <c r="O251" s="1"/>
      <c r="P251" s="1"/>
      <c r="Q251" s="1"/>
      <c r="R251" s="1"/>
    </row>
    <row r="252" spans="1:18" ht="16.5" x14ac:dyDescent="0.3">
      <c r="A252" s="14"/>
      <c r="G252" s="1"/>
      <c r="H252" s="26"/>
      <c r="I252" s="25"/>
      <c r="J252" s="1"/>
      <c r="K252" s="1"/>
      <c r="L252" s="25"/>
      <c r="M252" s="25"/>
      <c r="N252" s="1"/>
      <c r="O252" s="1"/>
      <c r="P252" s="1"/>
      <c r="Q252" s="1"/>
      <c r="R252" s="1"/>
    </row>
    <row r="253" spans="1:18" ht="16.5" x14ac:dyDescent="0.3">
      <c r="A253" s="14"/>
      <c r="G253" s="1"/>
      <c r="H253" s="26"/>
      <c r="I253" s="25"/>
      <c r="J253" s="1"/>
      <c r="K253" s="1"/>
      <c r="L253" s="25"/>
      <c r="M253" s="25"/>
      <c r="N253" s="1"/>
      <c r="O253" s="1"/>
      <c r="P253" s="1"/>
      <c r="Q253" s="1"/>
      <c r="R253" s="1"/>
    </row>
    <row r="254" spans="1:18" ht="16.5" x14ac:dyDescent="0.3">
      <c r="A254" s="14"/>
      <c r="G254" s="1"/>
      <c r="H254" s="25"/>
      <c r="I254" s="27"/>
      <c r="J254" s="1"/>
      <c r="K254" s="1"/>
      <c r="L254" s="25"/>
      <c r="M254" s="25"/>
      <c r="N254" s="1"/>
      <c r="O254" s="1"/>
      <c r="P254" s="1"/>
      <c r="Q254" s="1"/>
      <c r="R254" s="1"/>
    </row>
    <row r="255" spans="1:18" ht="16.5" x14ac:dyDescent="0.3">
      <c r="A255" s="4"/>
      <c r="B255" s="1"/>
      <c r="C255" s="1"/>
      <c r="D255" s="1"/>
      <c r="E255" s="1"/>
      <c r="F255" s="1"/>
      <c r="G255" s="1"/>
      <c r="H255" s="25"/>
      <c r="I255" s="28"/>
      <c r="J255" s="1"/>
      <c r="K255" s="1"/>
      <c r="L255" s="1"/>
      <c r="M255" s="1"/>
      <c r="N255" s="1"/>
      <c r="O255" s="1"/>
      <c r="P255" s="1"/>
      <c r="Q255" s="1"/>
      <c r="R255" s="1"/>
    </row>
    <row r="256" spans="1:18" ht="16.5" x14ac:dyDescent="0.3">
      <c r="A256" s="4"/>
      <c r="B256" s="1"/>
      <c r="C256" s="1"/>
      <c r="D256" s="1"/>
      <c r="E256" s="1"/>
      <c r="F256" s="1"/>
      <c r="G256" s="1"/>
      <c r="H256" s="25"/>
      <c r="I256" s="28"/>
      <c r="J256" s="1"/>
      <c r="K256" s="1"/>
      <c r="L256" s="1"/>
      <c r="M256" s="1"/>
      <c r="N256" s="1"/>
      <c r="O256" s="1"/>
      <c r="P256" s="1"/>
      <c r="Q256" s="1"/>
      <c r="R256" s="1"/>
    </row>
    <row r="257" spans="1:18" ht="16.5" x14ac:dyDescent="0.3">
      <c r="A257" s="1"/>
      <c r="B257" s="1"/>
      <c r="C257" s="1"/>
      <c r="D257" s="1"/>
      <c r="E257" s="1"/>
      <c r="F257" s="1"/>
      <c r="G257" s="1"/>
      <c r="H257" s="25"/>
      <c r="I257" s="28"/>
      <c r="J257" s="1"/>
      <c r="K257" s="1"/>
      <c r="L257" s="1"/>
      <c r="M257" s="1"/>
      <c r="N257" s="1"/>
      <c r="O257" s="1"/>
      <c r="P257" s="1"/>
      <c r="Q257" s="1"/>
      <c r="R257" s="1"/>
    </row>
    <row r="258" spans="1:18" ht="16.5" x14ac:dyDescent="0.3">
      <c r="A258" s="1"/>
      <c r="B258" s="1"/>
      <c r="C258" s="1"/>
      <c r="D258" s="1"/>
      <c r="E258" s="1"/>
      <c r="F258" s="1"/>
    </row>
    <row r="259" spans="1:18" ht="16.5" x14ac:dyDescent="0.3">
      <c r="A259" s="1"/>
      <c r="B259" s="1"/>
      <c r="C259" s="1"/>
      <c r="D259" s="1"/>
      <c r="E259" s="1"/>
      <c r="F259" s="1"/>
    </row>
    <row r="260" spans="1:18" ht="16.5" x14ac:dyDescent="0.3">
      <c r="A260" s="1"/>
      <c r="B260" s="1"/>
      <c r="C260" s="1"/>
      <c r="D260" s="1"/>
      <c r="E260" s="1"/>
      <c r="F260" s="1"/>
    </row>
    <row r="261" spans="1:18" ht="16.5" x14ac:dyDescent="0.3">
      <c r="A261" s="1"/>
      <c r="B261" s="1"/>
      <c r="C261" s="1"/>
      <c r="D261" s="1"/>
      <c r="E261" s="1"/>
      <c r="F261" s="1"/>
    </row>
    <row r="262" spans="1:18" ht="16.5" x14ac:dyDescent="0.3">
      <c r="A262" s="1"/>
      <c r="B262" s="1"/>
      <c r="C262" s="1"/>
      <c r="D262" s="1"/>
      <c r="E262" s="1"/>
      <c r="F262" s="1"/>
    </row>
    <row r="263" spans="1:18" ht="16.5" x14ac:dyDescent="0.3">
      <c r="A263" s="1"/>
      <c r="B263" s="1"/>
      <c r="C263" s="1"/>
      <c r="D263" s="1"/>
      <c r="E263" s="1"/>
      <c r="F263" s="1"/>
    </row>
    <row r="264" spans="1:18" ht="16.5" x14ac:dyDescent="0.3">
      <c r="A264" s="1"/>
      <c r="B264" s="1"/>
      <c r="C264" s="1"/>
      <c r="D264" s="1"/>
      <c r="E264" s="1"/>
      <c r="F264" s="1"/>
    </row>
    <row r="265" spans="1:18" ht="16.5" x14ac:dyDescent="0.3">
      <c r="A265" s="1"/>
      <c r="B265" s="1"/>
      <c r="C265" s="1"/>
      <c r="D265" s="1"/>
      <c r="E265" s="1"/>
      <c r="F265" s="1"/>
    </row>
    <row r="266" spans="1:18" ht="16.5" x14ac:dyDescent="0.3">
      <c r="A266" s="1"/>
      <c r="B266" s="1"/>
      <c r="C266" s="1"/>
      <c r="D266" s="1"/>
      <c r="E266" s="1"/>
      <c r="F266" s="1"/>
    </row>
    <row r="267" spans="1:18" ht="16.5" x14ac:dyDescent="0.3">
      <c r="A267" s="1"/>
      <c r="B267" s="1"/>
      <c r="C267" s="1"/>
      <c r="D267" s="1"/>
      <c r="E267" s="1"/>
      <c r="F267" s="1"/>
    </row>
    <row r="268" spans="1:18" ht="16.5" x14ac:dyDescent="0.3">
      <c r="A268" s="1"/>
      <c r="B268" s="1"/>
      <c r="C268" s="1"/>
      <c r="D268" s="1"/>
      <c r="E268" s="1"/>
      <c r="F268" s="1"/>
    </row>
    <row r="269" spans="1:18" ht="16.5" x14ac:dyDescent="0.3">
      <c r="A269" s="1"/>
      <c r="B269" s="1"/>
      <c r="C269" s="1"/>
      <c r="D269" s="1"/>
      <c r="E269" s="1"/>
      <c r="F269" s="1"/>
    </row>
    <row r="270" spans="1:18" ht="16.5" x14ac:dyDescent="0.3">
      <c r="A270" s="1"/>
      <c r="B270" s="1"/>
      <c r="C270" s="1"/>
      <c r="D270" s="1"/>
      <c r="E270" s="1"/>
      <c r="F270" s="1"/>
    </row>
    <row r="271" spans="1:18" ht="16.5" x14ac:dyDescent="0.3">
      <c r="A271" s="1"/>
      <c r="B271" s="1"/>
      <c r="C271" s="1"/>
      <c r="D271" s="1"/>
      <c r="E271" s="1"/>
      <c r="F271" s="1"/>
    </row>
    <row r="272" spans="1:18" ht="16.5" x14ac:dyDescent="0.3">
      <c r="A272" s="1"/>
      <c r="B272" s="1"/>
      <c r="C272" s="1"/>
      <c r="D272" s="1"/>
      <c r="E272" s="1"/>
      <c r="F272" s="1"/>
    </row>
    <row r="273" spans="1:6" ht="16.5" x14ac:dyDescent="0.3">
      <c r="A273" s="1"/>
      <c r="B273" s="1"/>
      <c r="C273" s="1"/>
      <c r="D273" s="1"/>
      <c r="E273" s="1"/>
      <c r="F273" s="1"/>
    </row>
    <row r="274" spans="1:6" ht="16.5" x14ac:dyDescent="0.3">
      <c r="A274" s="1"/>
      <c r="B274" s="1"/>
      <c r="C274" s="1"/>
      <c r="D274" s="1"/>
      <c r="E274" s="1"/>
      <c r="F274" s="1"/>
    </row>
    <row r="275" spans="1:6" ht="16.5" x14ac:dyDescent="0.3">
      <c r="A275" s="1"/>
      <c r="B275" s="1"/>
      <c r="C275" s="1"/>
      <c r="D275" s="1"/>
      <c r="E275" s="1"/>
      <c r="F275" s="1"/>
    </row>
    <row r="276" spans="1:6" ht="16.5" x14ac:dyDescent="0.3">
      <c r="A276" s="1"/>
      <c r="B276" s="1"/>
      <c r="C276" s="1"/>
      <c r="D276" s="1"/>
      <c r="E276" s="1"/>
      <c r="F276" s="1"/>
    </row>
    <row r="277" spans="1:6" ht="16.5" x14ac:dyDescent="0.3">
      <c r="A277" s="1"/>
      <c r="B277" s="1"/>
      <c r="C277" s="1"/>
      <c r="D277" s="1"/>
      <c r="E277" s="1"/>
      <c r="F277" s="1"/>
    </row>
    <row r="278" spans="1:6" ht="16.5" x14ac:dyDescent="0.3">
      <c r="A278" s="1"/>
      <c r="B278" s="1"/>
      <c r="C278" s="1"/>
      <c r="D278" s="1"/>
      <c r="E278" s="1"/>
      <c r="F278" s="1"/>
    </row>
    <row r="279" spans="1:6" ht="16.5" x14ac:dyDescent="0.3">
      <c r="A279" s="1"/>
      <c r="B279" s="1"/>
      <c r="C279" s="1"/>
      <c r="D279" s="1"/>
      <c r="E279" s="1"/>
      <c r="F279" s="1"/>
    </row>
    <row r="280" spans="1:6" ht="16.5" x14ac:dyDescent="0.3">
      <c r="A280" s="1"/>
      <c r="B280" s="1"/>
      <c r="C280" s="1"/>
      <c r="D280" s="1"/>
      <c r="E280" s="1"/>
      <c r="F280" s="1"/>
    </row>
    <row r="281" spans="1:6" ht="16.5" x14ac:dyDescent="0.3">
      <c r="A281" s="1"/>
      <c r="B281" s="1"/>
      <c r="C281" s="1"/>
      <c r="D281" s="1"/>
      <c r="E281" s="1"/>
      <c r="F281" s="1"/>
    </row>
    <row r="282" spans="1:6" ht="16.5" x14ac:dyDescent="0.3">
      <c r="A282" s="1"/>
      <c r="B282" s="1"/>
      <c r="C282" s="1"/>
      <c r="D282" s="1"/>
      <c r="E282" s="1"/>
      <c r="F282" s="1"/>
    </row>
    <row r="283" spans="1:6" ht="16.5" x14ac:dyDescent="0.3">
      <c r="A283" s="1"/>
      <c r="B283" s="1"/>
      <c r="C283" s="1"/>
      <c r="D283" s="1"/>
      <c r="E283" s="1"/>
      <c r="F283" s="1"/>
    </row>
    <row r="284" spans="1:6" ht="16.5" x14ac:dyDescent="0.3">
      <c r="A284" s="1"/>
      <c r="B284" s="1"/>
      <c r="C284" s="1"/>
      <c r="D284" s="1"/>
      <c r="E284" s="1"/>
      <c r="F284" s="1"/>
    </row>
    <row r="285" spans="1:6" ht="16.5" x14ac:dyDescent="0.3">
      <c r="A285" s="1"/>
      <c r="B285" s="1"/>
      <c r="C285" s="1"/>
      <c r="D285" s="1"/>
      <c r="E285" s="1"/>
      <c r="F285" s="1"/>
    </row>
    <row r="286" spans="1:6" ht="16.5" x14ac:dyDescent="0.3">
      <c r="A286" s="1"/>
      <c r="B286" s="1"/>
      <c r="C286" s="1"/>
      <c r="D286" s="1"/>
      <c r="E286" s="1"/>
      <c r="F286" s="1"/>
    </row>
    <row r="287" spans="1:6" ht="16.5" x14ac:dyDescent="0.3">
      <c r="A287" s="1"/>
      <c r="B287" s="1"/>
      <c r="C287" s="1"/>
      <c r="D287" s="1"/>
      <c r="E287" s="1"/>
      <c r="F287" s="1"/>
    </row>
    <row r="288" spans="1:6" ht="16.5" x14ac:dyDescent="0.3">
      <c r="A288" s="1"/>
      <c r="B288" s="1"/>
      <c r="C288" s="1"/>
      <c r="D288" s="1"/>
      <c r="E288" s="1"/>
      <c r="F288" s="1"/>
    </row>
    <row r="289" spans="1:6" ht="16.5" x14ac:dyDescent="0.3">
      <c r="A289" s="1"/>
      <c r="B289" s="1"/>
      <c r="C289" s="1"/>
      <c r="D289" s="1"/>
      <c r="E289" s="1"/>
      <c r="F289" s="1"/>
    </row>
    <row r="290" spans="1:6" ht="16.5" x14ac:dyDescent="0.3">
      <c r="A290" s="1"/>
      <c r="B290" s="1"/>
      <c r="C290" s="1"/>
      <c r="D290" s="1"/>
      <c r="E290" s="1"/>
      <c r="F290" s="1"/>
    </row>
    <row r="291" spans="1:6" ht="16.5" x14ac:dyDescent="0.3">
      <c r="A291" s="1"/>
      <c r="B291" s="1"/>
      <c r="C291" s="1"/>
      <c r="D291" s="1"/>
      <c r="E291" s="1"/>
      <c r="F291" s="1"/>
    </row>
    <row r="292" spans="1:6" ht="16.5" x14ac:dyDescent="0.3">
      <c r="A292" s="1"/>
      <c r="B292" s="1"/>
      <c r="C292" s="1"/>
      <c r="D292" s="1"/>
      <c r="E292" s="1"/>
      <c r="F292" s="1"/>
    </row>
    <row r="293" spans="1:6" ht="16.5" x14ac:dyDescent="0.3">
      <c r="A293" s="1"/>
      <c r="B293" s="1"/>
      <c r="C293" s="1"/>
      <c r="D293" s="1"/>
      <c r="E293" s="1"/>
      <c r="F293" s="1"/>
    </row>
    <row r="294" spans="1:6" ht="16.5" x14ac:dyDescent="0.3">
      <c r="A294" s="1"/>
      <c r="B294" s="1"/>
      <c r="C294" s="1"/>
      <c r="D294" s="1"/>
      <c r="E294" s="1"/>
      <c r="F294" s="1"/>
    </row>
    <row r="295" spans="1:6" ht="16.5" x14ac:dyDescent="0.3">
      <c r="A295" s="1"/>
      <c r="B295" s="1"/>
      <c r="C295" s="1"/>
      <c r="D295" s="1"/>
      <c r="E295" s="1"/>
      <c r="F295" s="1"/>
    </row>
    <row r="296" spans="1:6" ht="16.5" x14ac:dyDescent="0.3">
      <c r="A296" s="1"/>
      <c r="B296" s="1"/>
      <c r="C296" s="1"/>
      <c r="D296" s="1"/>
      <c r="E296" s="1"/>
      <c r="F296" s="1"/>
    </row>
    <row r="297" spans="1:6" ht="16.5" x14ac:dyDescent="0.3">
      <c r="A297" s="1"/>
      <c r="B297" s="1"/>
      <c r="C297" s="1"/>
      <c r="D297" s="1"/>
      <c r="E297" s="1"/>
      <c r="F297" s="1"/>
    </row>
    <row r="298" spans="1:6" ht="16.5" x14ac:dyDescent="0.3">
      <c r="A298" s="1"/>
      <c r="B298" s="1"/>
      <c r="C298" s="1"/>
      <c r="D298" s="1"/>
      <c r="E298" s="1"/>
      <c r="F298" s="1"/>
    </row>
    <row r="299" spans="1:6" ht="16.5" x14ac:dyDescent="0.3">
      <c r="A299" s="1"/>
      <c r="B299" s="1"/>
      <c r="C299" s="1"/>
      <c r="D299" s="1"/>
      <c r="E299" s="1"/>
      <c r="F299" s="1"/>
    </row>
    <row r="300" spans="1:6" ht="16.5" x14ac:dyDescent="0.3">
      <c r="A300" s="1"/>
      <c r="B300" s="1"/>
      <c r="C300" s="1"/>
      <c r="D300" s="1"/>
      <c r="E300" s="1"/>
      <c r="F300" s="1"/>
    </row>
    <row r="301" spans="1:6" ht="16.5" x14ac:dyDescent="0.3">
      <c r="A301" s="1"/>
      <c r="B301" s="1"/>
      <c r="C301" s="1"/>
      <c r="D301" s="1"/>
      <c r="E301" s="1"/>
      <c r="F301" s="1"/>
    </row>
    <row r="302" spans="1:6" ht="16.5" x14ac:dyDescent="0.3">
      <c r="A302" s="1"/>
      <c r="B302" s="1"/>
      <c r="C302" s="1"/>
      <c r="D302" s="1"/>
      <c r="E302" s="1"/>
      <c r="F302" s="1"/>
    </row>
    <row r="303" spans="1:6" ht="16.5" x14ac:dyDescent="0.3">
      <c r="A303" s="1"/>
      <c r="B303" s="1"/>
      <c r="C303" s="1"/>
      <c r="D303" s="1"/>
      <c r="E303" s="1"/>
      <c r="F303" s="1"/>
    </row>
    <row r="304" spans="1:6" ht="16.5" x14ac:dyDescent="0.3">
      <c r="A304" s="1"/>
      <c r="B304" s="1"/>
      <c r="C304" s="1"/>
      <c r="D304" s="1"/>
      <c r="E304" s="1"/>
      <c r="F304" s="1"/>
    </row>
    <row r="305" spans="1:6" ht="16.5" x14ac:dyDescent="0.3">
      <c r="A305" s="1"/>
      <c r="B305" s="1"/>
      <c r="C305" s="1"/>
      <c r="D305" s="1"/>
      <c r="E305" s="1"/>
      <c r="F305" s="1"/>
    </row>
    <row r="306" spans="1:6" ht="16.5" x14ac:dyDescent="0.3">
      <c r="A306" s="1"/>
      <c r="B306" s="1"/>
      <c r="C306" s="1"/>
      <c r="D306" s="1"/>
      <c r="E306" s="1"/>
      <c r="F306" s="1"/>
    </row>
    <row r="307" spans="1:6" ht="16.5" x14ac:dyDescent="0.3">
      <c r="A307" s="1"/>
      <c r="B307" s="1"/>
      <c r="C307" s="1"/>
      <c r="D307" s="1"/>
      <c r="E307" s="1"/>
      <c r="F307" s="1"/>
    </row>
    <row r="308" spans="1:6" ht="16.5" x14ac:dyDescent="0.3">
      <c r="A308" s="1"/>
      <c r="B308" s="1"/>
      <c r="C308" s="1"/>
      <c r="D308" s="1"/>
      <c r="E308" s="1"/>
      <c r="F308" s="1"/>
    </row>
    <row r="309" spans="1:6" ht="16.5" x14ac:dyDescent="0.3">
      <c r="A309" s="1"/>
      <c r="B309" s="1"/>
      <c r="C309" s="1"/>
      <c r="D309" s="1"/>
      <c r="E309" s="1"/>
      <c r="F309" s="1"/>
    </row>
    <row r="310" spans="1:6" ht="16.5" x14ac:dyDescent="0.3">
      <c r="A310" s="1"/>
      <c r="B310" s="1"/>
      <c r="C310" s="1"/>
      <c r="D310" s="1"/>
      <c r="E310" s="1"/>
      <c r="F310" s="1"/>
    </row>
    <row r="311" spans="1:6" ht="16.5" x14ac:dyDescent="0.3">
      <c r="A311" s="1"/>
      <c r="B311" s="1"/>
      <c r="C311" s="1"/>
      <c r="D311" s="1"/>
      <c r="E311" s="1"/>
      <c r="F311" s="1"/>
    </row>
    <row r="312" spans="1:6" ht="16.5" x14ac:dyDescent="0.3">
      <c r="A312" s="1"/>
      <c r="B312" s="1"/>
      <c r="C312" s="1"/>
      <c r="D312" s="1"/>
      <c r="E312" s="1"/>
      <c r="F312" s="1"/>
    </row>
    <row r="313" spans="1:6" ht="16.5" x14ac:dyDescent="0.3">
      <c r="A313" s="1"/>
      <c r="B313" s="1"/>
      <c r="C313" s="1"/>
      <c r="D313" s="1"/>
      <c r="E313" s="1"/>
      <c r="F313" s="1"/>
    </row>
    <row r="314" spans="1:6" ht="16.5" x14ac:dyDescent="0.3">
      <c r="A314" s="1"/>
      <c r="B314" s="1"/>
      <c r="C314" s="1"/>
      <c r="D314" s="1"/>
      <c r="E314" s="1"/>
      <c r="F314" s="1"/>
    </row>
    <row r="315" spans="1:6" ht="16.5" x14ac:dyDescent="0.3">
      <c r="A315" s="1"/>
      <c r="B315" s="1"/>
      <c r="C315" s="1"/>
      <c r="D315" s="1"/>
      <c r="E315" s="1"/>
      <c r="F315" s="1"/>
    </row>
    <row r="316" spans="1:6" ht="16.5" x14ac:dyDescent="0.3">
      <c r="A316" s="1"/>
      <c r="B316" s="1"/>
      <c r="C316" s="1"/>
      <c r="D316" s="1"/>
      <c r="E316" s="1"/>
      <c r="F316" s="1"/>
    </row>
    <row r="317" spans="1:6" ht="16.5" x14ac:dyDescent="0.3">
      <c r="A317" s="1"/>
      <c r="B317" s="1"/>
      <c r="C317" s="1"/>
      <c r="D317" s="1"/>
      <c r="E317" s="1"/>
      <c r="F317" s="1"/>
    </row>
    <row r="318" spans="1:6" ht="16.5" x14ac:dyDescent="0.3">
      <c r="A318" s="1"/>
      <c r="B318" s="1"/>
      <c r="C318" s="1"/>
      <c r="D318" s="1"/>
      <c r="E318" s="1"/>
      <c r="F318" s="1"/>
    </row>
    <row r="319" spans="1:6" ht="16.5" x14ac:dyDescent="0.3">
      <c r="A319" s="1"/>
      <c r="B319" s="1"/>
      <c r="C319" s="1"/>
      <c r="D319" s="1"/>
      <c r="E319" s="1"/>
      <c r="F319" s="1"/>
    </row>
    <row r="320" spans="1:6" ht="16.5" x14ac:dyDescent="0.3">
      <c r="A320" s="1"/>
      <c r="B320" s="1"/>
      <c r="C320" s="1"/>
      <c r="D320" s="1"/>
      <c r="E320" s="1"/>
      <c r="F320" s="1"/>
    </row>
    <row r="321" spans="1:6" ht="16.5" x14ac:dyDescent="0.3">
      <c r="A321" s="1"/>
      <c r="B321" s="1"/>
      <c r="C321" s="1"/>
      <c r="D321" s="1"/>
      <c r="E321" s="1"/>
      <c r="F321" s="1"/>
    </row>
    <row r="322" spans="1:6" ht="16.5" x14ac:dyDescent="0.3">
      <c r="A322" s="1"/>
      <c r="B322" s="1"/>
      <c r="C322" s="1"/>
      <c r="D322" s="1"/>
      <c r="E322" s="1"/>
      <c r="F322" s="1"/>
    </row>
    <row r="323" spans="1:6" ht="16.5" x14ac:dyDescent="0.3">
      <c r="A323" s="1"/>
      <c r="B323" s="1"/>
      <c r="C323" s="1"/>
      <c r="D323" s="1"/>
      <c r="E323" s="1"/>
      <c r="F323" s="1"/>
    </row>
    <row r="324" spans="1:6" ht="16.5" x14ac:dyDescent="0.3">
      <c r="A324" s="1"/>
      <c r="B324" s="1"/>
      <c r="C324" s="1"/>
      <c r="D324" s="1"/>
      <c r="E324" s="1"/>
      <c r="F324" s="1"/>
    </row>
    <row r="325" spans="1:6" ht="16.5" x14ac:dyDescent="0.3">
      <c r="A325" s="1"/>
      <c r="B325" s="1"/>
      <c r="C325" s="1"/>
      <c r="D325" s="1"/>
      <c r="E325" s="1"/>
      <c r="F325" s="1"/>
    </row>
    <row r="326" spans="1:6" ht="16.5" x14ac:dyDescent="0.3">
      <c r="A326" s="1"/>
      <c r="B326" s="1"/>
      <c r="C326" s="1"/>
      <c r="D326" s="1"/>
      <c r="E326" s="1"/>
      <c r="F326" s="1"/>
    </row>
    <row r="327" spans="1:6" ht="16.5" x14ac:dyDescent="0.3">
      <c r="A327" s="1"/>
      <c r="B327" s="1"/>
      <c r="C327" s="1"/>
      <c r="D327" s="1"/>
      <c r="E327" s="1"/>
      <c r="F327" s="1"/>
    </row>
    <row r="328" spans="1:6" ht="16.5" x14ac:dyDescent="0.3">
      <c r="A328" s="1"/>
      <c r="B328" s="1"/>
      <c r="C328" s="1"/>
      <c r="D328" s="1"/>
      <c r="E328" s="1"/>
      <c r="F328" s="1"/>
    </row>
    <row r="329" spans="1:6" ht="16.5" x14ac:dyDescent="0.3">
      <c r="A329" s="1"/>
      <c r="B329" s="1"/>
      <c r="C329" s="1"/>
      <c r="D329" s="1"/>
      <c r="E329" s="1"/>
      <c r="F329" s="1"/>
    </row>
    <row r="330" spans="1:6" ht="16.5" x14ac:dyDescent="0.3">
      <c r="A330" s="1"/>
      <c r="B330" s="1"/>
      <c r="C330" s="1"/>
      <c r="D330" s="1"/>
      <c r="E330" s="1"/>
      <c r="F330" s="1"/>
    </row>
    <row r="331" spans="1:6" ht="16.5" x14ac:dyDescent="0.3">
      <c r="A331" s="1"/>
      <c r="B331" s="1"/>
      <c r="C331" s="1"/>
      <c r="D331" s="1"/>
      <c r="E331" s="1"/>
      <c r="F331" s="1"/>
    </row>
    <row r="332" spans="1:6" ht="16.5" x14ac:dyDescent="0.3">
      <c r="A332" s="1"/>
      <c r="B332" s="1"/>
      <c r="C332" s="1"/>
      <c r="D332" s="1"/>
      <c r="E332" s="1"/>
      <c r="F332" s="1"/>
    </row>
    <row r="333" spans="1:6" ht="16.5" x14ac:dyDescent="0.3">
      <c r="A333" s="1"/>
      <c r="B333" s="1"/>
      <c r="C333" s="1"/>
      <c r="D333" s="1"/>
      <c r="E333" s="1"/>
      <c r="F333" s="1"/>
    </row>
    <row r="334" spans="1:6" ht="16.5" x14ac:dyDescent="0.3">
      <c r="A334" s="1"/>
      <c r="B334" s="1"/>
      <c r="C334" s="1"/>
      <c r="D334" s="1"/>
      <c r="E334" s="1"/>
      <c r="F334" s="1"/>
    </row>
    <row r="335" spans="1:6" ht="16.5" x14ac:dyDescent="0.3">
      <c r="A335" s="1"/>
      <c r="B335" s="1"/>
      <c r="C335" s="1"/>
      <c r="D335" s="1"/>
      <c r="E335" s="1"/>
      <c r="F335" s="1"/>
    </row>
    <row r="336" spans="1:6" ht="16.5" x14ac:dyDescent="0.3">
      <c r="A336" s="1"/>
      <c r="B336" s="1"/>
      <c r="C336" s="1"/>
      <c r="D336" s="1"/>
      <c r="E336" s="1"/>
      <c r="F336" s="1"/>
    </row>
    <row r="337" spans="1:6" ht="16.5" x14ac:dyDescent="0.3">
      <c r="A337" s="1"/>
      <c r="B337" s="1"/>
      <c r="C337" s="1"/>
      <c r="D337" s="1"/>
      <c r="E337" s="1"/>
      <c r="F337" s="1"/>
    </row>
    <row r="338" spans="1:6" ht="16.5" x14ac:dyDescent="0.3">
      <c r="A338" s="1"/>
      <c r="B338" s="1"/>
      <c r="C338" s="1"/>
      <c r="D338" s="1"/>
      <c r="E338" s="1"/>
      <c r="F338" s="1"/>
    </row>
    <row r="339" spans="1:6" ht="16.5" x14ac:dyDescent="0.3">
      <c r="A339" s="1"/>
      <c r="B339" s="1"/>
      <c r="C339" s="1"/>
      <c r="D339" s="1"/>
      <c r="E339" s="1"/>
      <c r="F339" s="1"/>
    </row>
    <row r="340" spans="1:6" ht="16.5" x14ac:dyDescent="0.3">
      <c r="A340" s="1"/>
      <c r="B340" s="1"/>
      <c r="C340" s="1"/>
      <c r="D340" s="1"/>
      <c r="E340" s="1"/>
      <c r="F340" s="1"/>
    </row>
    <row r="341" spans="1:6" ht="16.5" x14ac:dyDescent="0.3">
      <c r="A341" s="1"/>
      <c r="B341" s="1"/>
      <c r="C341" s="1"/>
      <c r="D341" s="1"/>
      <c r="E341" s="1"/>
      <c r="F341" s="1"/>
    </row>
    <row r="342" spans="1:6" ht="16.5" x14ac:dyDescent="0.3">
      <c r="A342" s="1"/>
      <c r="B342" s="1"/>
      <c r="C342" s="1"/>
      <c r="D342" s="1"/>
      <c r="E342" s="1"/>
      <c r="F342" s="1"/>
    </row>
    <row r="343" spans="1:6" ht="16.5" x14ac:dyDescent="0.3">
      <c r="A343" s="1"/>
      <c r="B343" s="1"/>
      <c r="C343" s="1"/>
      <c r="D343" s="1"/>
      <c r="E343" s="1"/>
      <c r="F343" s="1"/>
    </row>
    <row r="344" spans="1:6" ht="16.5" x14ac:dyDescent="0.3">
      <c r="A344" s="1"/>
      <c r="B344" s="1"/>
      <c r="C344" s="1"/>
      <c r="D344" s="1"/>
      <c r="E344" s="1"/>
      <c r="F344" s="1"/>
    </row>
    <row r="345" spans="1:6" ht="16.5" x14ac:dyDescent="0.3">
      <c r="A345" s="1"/>
      <c r="B345" s="1"/>
      <c r="C345" s="1"/>
      <c r="D345" s="1"/>
      <c r="E345" s="1"/>
      <c r="F345" s="1"/>
    </row>
    <row r="346" spans="1:6" ht="16.5" x14ac:dyDescent="0.3">
      <c r="A346" s="1"/>
      <c r="B346" s="1"/>
      <c r="C346" s="1"/>
      <c r="D346" s="1"/>
      <c r="E346" s="1"/>
      <c r="F346" s="1"/>
    </row>
    <row r="347" spans="1:6" ht="16.5" x14ac:dyDescent="0.3">
      <c r="A347" s="1"/>
      <c r="B347" s="1"/>
      <c r="C347" s="1"/>
      <c r="D347" s="1"/>
      <c r="E347" s="1"/>
      <c r="F347" s="1"/>
    </row>
    <row r="348" spans="1:6" ht="16.5" x14ac:dyDescent="0.3">
      <c r="A348" s="1"/>
      <c r="B348" s="1"/>
      <c r="C348" s="1"/>
      <c r="D348" s="1"/>
      <c r="E348" s="1"/>
      <c r="F348" s="1"/>
    </row>
    <row r="349" spans="1:6" ht="16.5" x14ac:dyDescent="0.3">
      <c r="A349" s="1"/>
      <c r="B349" s="1"/>
      <c r="C349" s="1"/>
      <c r="D349" s="1"/>
      <c r="E349" s="1"/>
      <c r="F349" s="1"/>
    </row>
    <row r="350" spans="1:6" ht="16.5" x14ac:dyDescent="0.3">
      <c r="A350" s="1"/>
      <c r="B350" s="1"/>
      <c r="C350" s="1"/>
      <c r="D350" s="1"/>
      <c r="E350" s="1"/>
      <c r="F350" s="1"/>
    </row>
    <row r="351" spans="1:6" ht="16.5" x14ac:dyDescent="0.3">
      <c r="A351" s="1"/>
      <c r="B351" s="1"/>
      <c r="C351" s="1"/>
      <c r="D351" s="1"/>
      <c r="E351" s="1"/>
      <c r="F351" s="1"/>
    </row>
    <row r="352" spans="1:6" ht="16.5" x14ac:dyDescent="0.3">
      <c r="A352" s="1"/>
      <c r="B352" s="1"/>
      <c r="C352" s="1"/>
      <c r="D352" s="1"/>
      <c r="E352" s="1"/>
      <c r="F352" s="1"/>
    </row>
    <row r="353" spans="1:6" ht="16.5" x14ac:dyDescent="0.3">
      <c r="A353" s="1"/>
      <c r="B353" s="1"/>
      <c r="C353" s="1"/>
      <c r="D353" s="1"/>
      <c r="E353" s="1"/>
      <c r="F353" s="1"/>
    </row>
    <row r="354" spans="1:6" ht="16.5" x14ac:dyDescent="0.3">
      <c r="A354" s="1"/>
      <c r="B354" s="1"/>
      <c r="C354" s="1"/>
      <c r="D354" s="1"/>
      <c r="E354" s="1"/>
      <c r="F354" s="1"/>
    </row>
    <row r="355" spans="1:6" ht="16.5" x14ac:dyDescent="0.3">
      <c r="A355" s="1"/>
      <c r="B355" s="1"/>
      <c r="C355" s="1"/>
      <c r="D355" s="1"/>
      <c r="E355" s="1"/>
      <c r="F355" s="1"/>
    </row>
    <row r="356" spans="1:6" ht="16.5" x14ac:dyDescent="0.3">
      <c r="A356" s="1"/>
      <c r="B356" s="1"/>
      <c r="C356" s="1"/>
      <c r="D356" s="1"/>
      <c r="E356" s="1"/>
      <c r="F356" s="1"/>
    </row>
    <row r="357" spans="1:6" ht="16.5" x14ac:dyDescent="0.3">
      <c r="A357" s="1"/>
      <c r="B357" s="1"/>
      <c r="C357" s="1"/>
      <c r="D357" s="1"/>
      <c r="E357" s="1"/>
      <c r="F357" s="1"/>
    </row>
    <row r="358" spans="1:6" ht="16.5" x14ac:dyDescent="0.3">
      <c r="A358" s="1"/>
      <c r="B358" s="1"/>
      <c r="C358" s="1"/>
      <c r="D358" s="1"/>
      <c r="E358" s="1"/>
      <c r="F358" s="1"/>
    </row>
    <row r="359" spans="1:6" ht="16.5" x14ac:dyDescent="0.3">
      <c r="A359" s="1"/>
      <c r="B359" s="1"/>
      <c r="C359" s="1"/>
      <c r="D359" s="1"/>
      <c r="E359" s="1"/>
      <c r="F359" s="1"/>
    </row>
    <row r="360" spans="1:6" ht="16.5" x14ac:dyDescent="0.3">
      <c r="A360" s="1"/>
      <c r="B360" s="1"/>
      <c r="C360" s="1"/>
      <c r="D360" s="1"/>
      <c r="E360" s="1"/>
      <c r="F360" s="1"/>
    </row>
  </sheetData>
  <mergeCells count="1">
    <mergeCell ref="A1:R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3" r:id="rId3" name="ScrapYahoo">
          <controlPr defaultSize="0" disabled="1" autoLine="0" r:id="rId4">
            <anchor moveWithCells="1">
              <from>
                <xdr:col>0</xdr:col>
                <xdr:colOff>104775</xdr:colOff>
                <xdr:row>0</xdr:row>
                <xdr:rowOff>581025</xdr:rowOff>
              </from>
              <to>
                <xdr:col>1</xdr:col>
                <xdr:colOff>895350</xdr:colOff>
                <xdr:row>0</xdr:row>
                <xdr:rowOff>962025</xdr:rowOff>
              </to>
            </anchor>
          </controlPr>
        </control>
      </mc:Choice>
      <mc:Fallback>
        <control shapeId="1033" r:id="rId3" name="ScrapYahoo"/>
      </mc:Fallback>
    </mc:AlternateContent>
    <mc:AlternateContent xmlns:mc="http://schemas.openxmlformats.org/markup-compatibility/2006">
      <mc:Choice Requires="x14">
        <control shapeId="1032" r:id="rId5" name="testUserForm">
          <controlPr defaultSize="0" autoLine="0" r:id="rId6">
            <anchor moveWithCells="1">
              <from>
                <xdr:col>0</xdr:col>
                <xdr:colOff>114300</xdr:colOff>
                <xdr:row>0</xdr:row>
                <xdr:rowOff>104775</xdr:rowOff>
              </from>
              <to>
                <xdr:col>1</xdr:col>
                <xdr:colOff>895350</xdr:colOff>
                <xdr:row>0</xdr:row>
                <xdr:rowOff>523875</xdr:rowOff>
              </to>
            </anchor>
          </controlPr>
        </control>
      </mc:Choice>
      <mc:Fallback>
        <control shapeId="1032" r:id="rId5" name="testUserForm"/>
      </mc:Fallback>
    </mc:AlternateContent>
    <mc:AlternateContent xmlns:mc="http://schemas.openxmlformats.org/markup-compatibility/2006">
      <mc:Choice Requires="x14">
        <control shapeId="1028" r:id="rId7" name="calibrate">
          <controlPr defaultSize="0" disabled="1" autoLine="0" r:id="rId8">
            <anchor moveWithCells="1">
              <from>
                <xdr:col>1</xdr:col>
                <xdr:colOff>962025</xdr:colOff>
                <xdr:row>0</xdr:row>
                <xdr:rowOff>123825</xdr:rowOff>
              </from>
              <to>
                <xdr:col>3</xdr:col>
                <xdr:colOff>742950</xdr:colOff>
                <xdr:row>0</xdr:row>
                <xdr:rowOff>495300</xdr:rowOff>
              </to>
            </anchor>
          </controlPr>
        </control>
      </mc:Choice>
      <mc:Fallback>
        <control shapeId="1028" r:id="rId7" name="calibrate"/>
      </mc:Fallback>
    </mc:AlternateContent>
    <mc:AlternateContent xmlns:mc="http://schemas.openxmlformats.org/markup-compatibility/2006">
      <mc:Choice Requires="x14">
        <control shapeId="1029" r:id="rId9" name="B_Sholes">
          <controlPr defaultSize="0" disabled="1" autoLine="0" r:id="rId10">
            <anchor moveWithCells="1">
              <from>
                <xdr:col>1</xdr:col>
                <xdr:colOff>962025</xdr:colOff>
                <xdr:row>0</xdr:row>
                <xdr:rowOff>561975</xdr:rowOff>
              </from>
              <to>
                <xdr:col>3</xdr:col>
                <xdr:colOff>723900</xdr:colOff>
                <xdr:row>0</xdr:row>
                <xdr:rowOff>962025</xdr:rowOff>
              </to>
            </anchor>
          </controlPr>
        </control>
      </mc:Choice>
      <mc:Fallback>
        <control shapeId="1029" r:id="rId9" name="B_Sholes"/>
      </mc:Fallback>
    </mc:AlternateContent>
    <mc:AlternateContent xmlns:mc="http://schemas.openxmlformats.org/markup-compatibility/2006">
      <mc:Choice Requires="x14">
        <control shapeId="1031" r:id="rId11" name="Clear">
          <controlPr defaultSize="0" disabled="1" autoLine="0" r:id="rId12">
            <anchor moveWithCells="1">
              <from>
                <xdr:col>4</xdr:col>
                <xdr:colOff>247650</xdr:colOff>
                <xdr:row>0</xdr:row>
                <xdr:rowOff>323850</xdr:rowOff>
              </from>
              <to>
                <xdr:col>5</xdr:col>
                <xdr:colOff>523875</xdr:colOff>
                <xdr:row>0</xdr:row>
                <xdr:rowOff>638175</xdr:rowOff>
              </to>
            </anchor>
          </controlPr>
        </control>
      </mc:Choice>
      <mc:Fallback>
        <control shapeId="1031" r:id="rId11" name="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E4045-F97E-49AF-8F1A-7C13EC4E9954}">
  <sheetPr codeName="Hoja2"/>
  <dimension ref="A2:G255"/>
  <sheetViews>
    <sheetView workbookViewId="0">
      <selection activeCell="B30" sqref="B29:B30"/>
    </sheetView>
  </sheetViews>
  <sheetFormatPr baseColWidth="10" defaultRowHeight="15" x14ac:dyDescent="0.25"/>
  <cols>
    <col min="1" max="1" width="12" customWidth="1"/>
    <col min="2" max="7" width="14" bestFit="1" customWidth="1"/>
  </cols>
  <sheetData>
    <row r="2" spans="1:7" ht="18" thickBot="1" x14ac:dyDescent="0.35">
      <c r="A2" s="15" t="s">
        <v>24</v>
      </c>
      <c r="B2" s="17">
        <f>DataRaw!B2</f>
        <v>0</v>
      </c>
      <c r="C2" s="15" t="s">
        <v>22</v>
      </c>
      <c r="D2" s="18">
        <f>DataRaw!D2</f>
        <v>0</v>
      </c>
      <c r="E2" s="15" t="s">
        <v>23</v>
      </c>
      <c r="F2" s="18">
        <f>DataRaw!F2</f>
        <v>0</v>
      </c>
    </row>
    <row r="3" spans="1:7" ht="15.75" thickTop="1" x14ac:dyDescent="0.25">
      <c r="A3" s="14"/>
      <c r="B3" s="16"/>
      <c r="C3" s="16"/>
      <c r="D3" s="16"/>
      <c r="E3" s="16"/>
      <c r="F3" s="16"/>
      <c r="G3" s="16"/>
    </row>
    <row r="4" spans="1:7" x14ac:dyDescent="0.25">
      <c r="A4" s="14">
        <v>43845</v>
      </c>
      <c r="B4">
        <v>10036500</v>
      </c>
      <c r="C4">
        <v>220.61</v>
      </c>
      <c r="D4">
        <v>221.68</v>
      </c>
      <c r="E4">
        <v>220.14</v>
      </c>
      <c r="F4">
        <v>221.15</v>
      </c>
    </row>
    <row r="5" spans="1:7" x14ac:dyDescent="0.25">
      <c r="A5" s="14">
        <v>43846</v>
      </c>
      <c r="B5">
        <v>10015300</v>
      </c>
      <c r="C5">
        <v>222.57</v>
      </c>
      <c r="D5">
        <v>222.63</v>
      </c>
      <c r="E5">
        <v>220.39</v>
      </c>
      <c r="F5">
        <v>221.77</v>
      </c>
    </row>
    <row r="6" spans="1:7" x14ac:dyDescent="0.25">
      <c r="A6" s="14">
        <v>43847</v>
      </c>
      <c r="B6" s="16">
        <v>15905900</v>
      </c>
      <c r="C6" s="16">
        <v>222.03</v>
      </c>
      <c r="D6" s="16">
        <v>222.29</v>
      </c>
      <c r="E6" s="16">
        <v>220.53</v>
      </c>
      <c r="F6" s="16">
        <v>222.14</v>
      </c>
      <c r="G6" s="16"/>
    </row>
    <row r="7" spans="1:7" x14ac:dyDescent="0.25">
      <c r="A7" s="14">
        <v>43851</v>
      </c>
      <c r="B7" s="16">
        <v>14275800</v>
      </c>
      <c r="C7" s="16">
        <v>222.16</v>
      </c>
      <c r="D7" s="16">
        <v>222.37</v>
      </c>
      <c r="E7" s="16">
        <v>219.12</v>
      </c>
      <c r="F7" s="16">
        <v>221.44</v>
      </c>
      <c r="G7" s="16"/>
    </row>
    <row r="8" spans="1:7" x14ac:dyDescent="0.25">
      <c r="A8" s="14">
        <v>43852</v>
      </c>
      <c r="B8" s="16">
        <v>12212800</v>
      </c>
      <c r="C8" s="16">
        <v>222.31</v>
      </c>
      <c r="D8" s="16">
        <v>222.75</v>
      </c>
      <c r="E8" s="16">
        <v>221.28</v>
      </c>
      <c r="F8" s="16">
        <v>221.32</v>
      </c>
      <c r="G8" s="16"/>
    </row>
    <row r="9" spans="1:7" x14ac:dyDescent="0.25">
      <c r="A9" s="14">
        <v>43853</v>
      </c>
      <c r="B9" s="16">
        <v>11195000</v>
      </c>
      <c r="C9" s="16">
        <v>220.75</v>
      </c>
      <c r="D9" s="16">
        <v>221.49</v>
      </c>
      <c r="E9" s="16">
        <v>219.27</v>
      </c>
      <c r="F9" s="16">
        <v>219.76</v>
      </c>
      <c r="G9" s="16"/>
    </row>
    <row r="10" spans="1:7" x14ac:dyDescent="0.25">
      <c r="A10" s="14">
        <v>43854</v>
      </c>
      <c r="B10" s="16">
        <v>11905800</v>
      </c>
      <c r="C10" s="16">
        <v>220.8</v>
      </c>
      <c r="D10" s="16">
        <v>221.78</v>
      </c>
      <c r="E10" s="16">
        <v>216.11</v>
      </c>
      <c r="F10" s="16">
        <v>217.94</v>
      </c>
      <c r="G10" s="16"/>
    </row>
    <row r="11" spans="1:7" x14ac:dyDescent="0.25">
      <c r="A11" s="14">
        <v>43857</v>
      </c>
      <c r="B11" s="16">
        <v>13810700</v>
      </c>
      <c r="C11" s="16">
        <v>213.1</v>
      </c>
      <c r="D11" s="16">
        <v>216.06</v>
      </c>
      <c r="E11" s="16">
        <v>212.5</v>
      </c>
      <c r="F11" s="16">
        <v>214.87</v>
      </c>
      <c r="G11" s="16"/>
    </row>
    <row r="12" spans="1:7" x14ac:dyDescent="0.25">
      <c r="A12" s="14">
        <v>43858</v>
      </c>
      <c r="B12" s="16">
        <v>13413800</v>
      </c>
      <c r="C12" s="16">
        <v>216.14</v>
      </c>
      <c r="D12" s="16">
        <v>218.74</v>
      </c>
      <c r="E12" s="16">
        <v>213.52</v>
      </c>
      <c r="F12" s="16">
        <v>217.79</v>
      </c>
      <c r="G12" s="16"/>
    </row>
    <row r="13" spans="1:7" x14ac:dyDescent="0.25">
      <c r="A13" s="14">
        <v>43859</v>
      </c>
      <c r="B13" s="16">
        <v>33181300</v>
      </c>
      <c r="C13" s="16">
        <v>221.44</v>
      </c>
      <c r="D13" s="16">
        <v>224.2</v>
      </c>
      <c r="E13" s="16">
        <v>218.45</v>
      </c>
      <c r="F13" s="16">
        <v>223.23</v>
      </c>
      <c r="G13" s="16"/>
    </row>
    <row r="14" spans="1:7" x14ac:dyDescent="0.25">
      <c r="A14" s="14">
        <v>43860</v>
      </c>
      <c r="B14" s="16">
        <v>48775500</v>
      </c>
      <c r="C14" s="16">
        <v>206.53</v>
      </c>
      <c r="D14" s="16">
        <v>211.43</v>
      </c>
      <c r="E14" s="16">
        <v>204.75</v>
      </c>
      <c r="F14" s="16">
        <v>209.53</v>
      </c>
      <c r="G14" s="16"/>
    </row>
    <row r="15" spans="1:7" x14ac:dyDescent="0.25">
      <c r="A15" s="14">
        <v>43861</v>
      </c>
      <c r="B15" s="16">
        <v>31359900</v>
      </c>
      <c r="C15" s="16">
        <v>208.43</v>
      </c>
      <c r="D15" s="16">
        <v>208.69</v>
      </c>
      <c r="E15" s="16">
        <v>201.06</v>
      </c>
      <c r="F15" s="16">
        <v>201.91</v>
      </c>
      <c r="G15" s="16"/>
    </row>
    <row r="16" spans="1:7" x14ac:dyDescent="0.25">
      <c r="A16" s="14">
        <v>43864</v>
      </c>
      <c r="B16" s="16">
        <v>15510500</v>
      </c>
      <c r="C16" s="16">
        <v>203.44</v>
      </c>
      <c r="D16" s="16">
        <v>205.14</v>
      </c>
      <c r="E16" s="16">
        <v>202.5</v>
      </c>
      <c r="F16" s="16">
        <v>204.19</v>
      </c>
      <c r="G16" s="16"/>
    </row>
    <row r="17" spans="1:7" x14ac:dyDescent="0.25">
      <c r="A17" s="14">
        <v>43865</v>
      </c>
      <c r="B17" s="16">
        <v>19628900</v>
      </c>
      <c r="C17" s="16">
        <v>206.62</v>
      </c>
      <c r="D17" s="16">
        <v>210.6</v>
      </c>
      <c r="E17" s="16">
        <v>205.2</v>
      </c>
      <c r="F17" s="16">
        <v>209.83</v>
      </c>
      <c r="G17" s="16"/>
    </row>
    <row r="18" spans="1:7" x14ac:dyDescent="0.25">
      <c r="A18" s="14">
        <v>43866</v>
      </c>
      <c r="B18" s="16">
        <v>12538200</v>
      </c>
      <c r="C18" s="16">
        <v>212.51</v>
      </c>
      <c r="D18" s="16">
        <v>212.73</v>
      </c>
      <c r="E18" s="16">
        <v>208.71</v>
      </c>
      <c r="F18" s="16">
        <v>210.11</v>
      </c>
      <c r="G18" s="16"/>
    </row>
    <row r="19" spans="1:7" x14ac:dyDescent="0.25">
      <c r="A19" s="14">
        <v>43867</v>
      </c>
      <c r="B19" s="16">
        <v>10567500</v>
      </c>
      <c r="C19" s="16">
        <v>210.47</v>
      </c>
      <c r="D19" s="16">
        <v>211.19</v>
      </c>
      <c r="E19" s="16">
        <v>209.34</v>
      </c>
      <c r="F19" s="16">
        <v>210.85</v>
      </c>
      <c r="G19" s="16"/>
    </row>
    <row r="20" spans="1:7" x14ac:dyDescent="0.25">
      <c r="A20" s="14">
        <v>43868</v>
      </c>
      <c r="B20" s="16">
        <v>12242500</v>
      </c>
      <c r="C20" s="16">
        <v>210.3</v>
      </c>
      <c r="D20" s="16">
        <v>212.82</v>
      </c>
      <c r="E20" s="16">
        <v>209.93</v>
      </c>
      <c r="F20" s="16">
        <v>212.33</v>
      </c>
      <c r="G20" s="16"/>
    </row>
    <row r="21" spans="1:7" x14ac:dyDescent="0.25">
      <c r="A21" s="14">
        <v>43871</v>
      </c>
      <c r="B21" s="16">
        <v>11856400</v>
      </c>
      <c r="C21" s="16">
        <v>211.52</v>
      </c>
      <c r="D21" s="16">
        <v>213.8</v>
      </c>
      <c r="E21" s="16">
        <v>210.66</v>
      </c>
      <c r="F21" s="16">
        <v>213.06</v>
      </c>
      <c r="G21" s="16"/>
    </row>
    <row r="22" spans="1:7" x14ac:dyDescent="0.25">
      <c r="A22" s="14">
        <v>43872</v>
      </c>
      <c r="B22" s="16">
        <v>25030800</v>
      </c>
      <c r="C22" s="16">
        <v>210.19</v>
      </c>
      <c r="D22" s="16">
        <v>210.86</v>
      </c>
      <c r="E22" s="16">
        <v>206.51</v>
      </c>
      <c r="F22" s="16">
        <v>207.19</v>
      </c>
      <c r="G22" s="16"/>
    </row>
    <row r="23" spans="1:7" x14ac:dyDescent="0.25">
      <c r="A23" s="14">
        <v>43873</v>
      </c>
      <c r="B23" s="16">
        <v>13813700</v>
      </c>
      <c r="C23" s="16">
        <v>207.85</v>
      </c>
      <c r="D23" s="16">
        <v>211.22</v>
      </c>
      <c r="E23" s="16">
        <v>207.4</v>
      </c>
      <c r="F23" s="16">
        <v>210.76</v>
      </c>
      <c r="G23" s="16"/>
    </row>
    <row r="24" spans="1:7" x14ac:dyDescent="0.25">
      <c r="A24" s="14">
        <v>43874</v>
      </c>
      <c r="B24" s="16">
        <v>15396600</v>
      </c>
      <c r="C24" s="16">
        <v>209.52</v>
      </c>
      <c r="D24" s="16">
        <v>214.33</v>
      </c>
      <c r="E24" s="16">
        <v>209.18</v>
      </c>
      <c r="F24" s="16">
        <v>213.14</v>
      </c>
      <c r="G24" s="16"/>
    </row>
    <row r="25" spans="1:7" x14ac:dyDescent="0.25">
      <c r="A25" s="14">
        <v>43875</v>
      </c>
      <c r="B25" s="16">
        <v>10741700</v>
      </c>
      <c r="C25" s="16">
        <v>214</v>
      </c>
      <c r="D25" s="16">
        <v>214.93</v>
      </c>
      <c r="E25" s="16">
        <v>212.65</v>
      </c>
      <c r="F25" s="16">
        <v>214.18</v>
      </c>
      <c r="G25" s="16"/>
    </row>
    <row r="26" spans="1:7" x14ac:dyDescent="0.25">
      <c r="A26" s="14">
        <v>43879</v>
      </c>
      <c r="B26" s="16">
        <v>15609200</v>
      </c>
      <c r="C26" s="16">
        <v>213.55</v>
      </c>
      <c r="D26" s="16">
        <v>217.98</v>
      </c>
      <c r="E26" s="16">
        <v>213.4</v>
      </c>
      <c r="F26" s="16">
        <v>217.8</v>
      </c>
      <c r="G26" s="16"/>
    </row>
    <row r="27" spans="1:7" x14ac:dyDescent="0.25">
      <c r="A27" s="14">
        <v>43880</v>
      </c>
      <c r="B27" s="16">
        <v>12135100</v>
      </c>
      <c r="C27" s="16">
        <v>217.99</v>
      </c>
      <c r="D27" s="16">
        <v>218.32</v>
      </c>
      <c r="E27" s="16">
        <v>216.11</v>
      </c>
      <c r="F27" s="16">
        <v>217.49</v>
      </c>
      <c r="G27" s="16"/>
    </row>
    <row r="28" spans="1:7" x14ac:dyDescent="0.25">
      <c r="A28" s="14">
        <v>43881</v>
      </c>
      <c r="B28" s="16">
        <v>13109200</v>
      </c>
      <c r="C28" s="16">
        <v>216.52</v>
      </c>
      <c r="D28" s="16">
        <v>218.77</v>
      </c>
      <c r="E28" s="16">
        <v>212.95</v>
      </c>
      <c r="F28" s="16">
        <v>214.58</v>
      </c>
      <c r="G28" s="16"/>
    </row>
    <row r="29" spans="1:7" x14ac:dyDescent="0.25">
      <c r="A29" s="14">
        <v>43882</v>
      </c>
      <c r="B29" s="16">
        <v>14092300</v>
      </c>
      <c r="C29" s="16">
        <v>213.48</v>
      </c>
      <c r="D29" s="16">
        <v>214.24</v>
      </c>
      <c r="E29" s="16">
        <v>208.83</v>
      </c>
      <c r="F29" s="16">
        <v>210.18</v>
      </c>
      <c r="G29" s="16"/>
    </row>
    <row r="30" spans="1:7" x14ac:dyDescent="0.25">
      <c r="A30" s="14">
        <v>43885</v>
      </c>
      <c r="B30" s="16">
        <v>23080100</v>
      </c>
      <c r="C30" s="16">
        <v>201.8</v>
      </c>
      <c r="D30" s="16">
        <v>203.65</v>
      </c>
      <c r="E30" s="16">
        <v>198.17</v>
      </c>
      <c r="F30" s="16">
        <v>200.72</v>
      </c>
      <c r="G30" s="16"/>
    </row>
    <row r="31" spans="1:7" x14ac:dyDescent="0.25">
      <c r="A31" s="14">
        <v>43886</v>
      </c>
      <c r="B31" s="16">
        <v>21433500</v>
      </c>
      <c r="C31" s="16">
        <v>202.25</v>
      </c>
      <c r="D31" s="16">
        <v>203.5</v>
      </c>
      <c r="E31" s="16">
        <v>195.95</v>
      </c>
      <c r="F31" s="16">
        <v>196.77</v>
      </c>
      <c r="G31" s="16"/>
    </row>
    <row r="32" spans="1:7" x14ac:dyDescent="0.25">
      <c r="A32" s="14">
        <v>43887</v>
      </c>
      <c r="B32" s="16">
        <v>16524500</v>
      </c>
      <c r="C32" s="16">
        <v>197.19</v>
      </c>
      <c r="D32" s="16">
        <v>201.21</v>
      </c>
      <c r="E32" s="16">
        <v>195.49</v>
      </c>
      <c r="F32" s="16">
        <v>197.2</v>
      </c>
      <c r="G32" s="16"/>
    </row>
    <row r="33" spans="1:7" x14ac:dyDescent="0.25">
      <c r="A33" s="14">
        <v>43888</v>
      </c>
      <c r="B33" s="16">
        <v>21682600</v>
      </c>
      <c r="C33" s="16">
        <v>191.82</v>
      </c>
      <c r="D33" s="16">
        <v>195.88</v>
      </c>
      <c r="E33" s="16">
        <v>189.5</v>
      </c>
      <c r="F33" s="16">
        <v>189.75</v>
      </c>
      <c r="G33" s="16"/>
    </row>
    <row r="34" spans="1:7" x14ac:dyDescent="0.25">
      <c r="A34" s="14">
        <v>43889</v>
      </c>
      <c r="B34" s="16">
        <v>32583500</v>
      </c>
      <c r="C34" s="16">
        <v>182.7</v>
      </c>
      <c r="D34" s="16">
        <v>192.74</v>
      </c>
      <c r="E34" s="16">
        <v>181.82</v>
      </c>
      <c r="F34" s="16">
        <v>192.47</v>
      </c>
      <c r="G34" s="16"/>
    </row>
    <row r="35" spans="1:7" x14ac:dyDescent="0.25">
      <c r="A35" s="14">
        <v>43892</v>
      </c>
      <c r="B35" s="16">
        <v>24949000</v>
      </c>
      <c r="C35" s="16">
        <v>194.03</v>
      </c>
      <c r="D35" s="16">
        <v>196.57</v>
      </c>
      <c r="E35" s="16">
        <v>188.85</v>
      </c>
      <c r="F35" s="16">
        <v>196.44</v>
      </c>
      <c r="G35" s="16"/>
    </row>
    <row r="36" spans="1:7" x14ac:dyDescent="0.25">
      <c r="A36" s="14">
        <v>43893</v>
      </c>
      <c r="B36" s="16">
        <v>27984100</v>
      </c>
      <c r="C36" s="16">
        <v>196.22</v>
      </c>
      <c r="D36" s="16">
        <v>197.24</v>
      </c>
      <c r="E36" s="16">
        <v>183.97</v>
      </c>
      <c r="F36" s="16">
        <v>185.89</v>
      </c>
      <c r="G36" s="16"/>
    </row>
    <row r="37" spans="1:7" x14ac:dyDescent="0.25">
      <c r="A37" s="14">
        <v>43894</v>
      </c>
      <c r="B37" s="16">
        <v>23062500</v>
      </c>
      <c r="C37" s="16">
        <v>189.17</v>
      </c>
      <c r="D37" s="16">
        <v>191.83</v>
      </c>
      <c r="E37" s="16">
        <v>186.39</v>
      </c>
      <c r="F37" s="16">
        <v>191.76</v>
      </c>
      <c r="G37" s="16"/>
    </row>
    <row r="38" spans="1:7" x14ac:dyDescent="0.25">
      <c r="A38" s="14">
        <v>43895</v>
      </c>
      <c r="B38" s="16">
        <v>19333400</v>
      </c>
      <c r="C38" s="16">
        <v>186.78</v>
      </c>
      <c r="D38" s="16">
        <v>188.99</v>
      </c>
      <c r="E38" s="16">
        <v>183.89</v>
      </c>
      <c r="F38" s="16">
        <v>185.17</v>
      </c>
      <c r="G38" s="16"/>
    </row>
    <row r="39" spans="1:7" x14ac:dyDescent="0.25">
      <c r="A39" s="14">
        <v>43896</v>
      </c>
      <c r="B39" s="16">
        <v>24559600</v>
      </c>
      <c r="C39" s="16">
        <v>178.33</v>
      </c>
      <c r="D39" s="16">
        <v>183.78</v>
      </c>
      <c r="E39" s="16">
        <v>176.26</v>
      </c>
      <c r="F39" s="16">
        <v>181.09</v>
      </c>
      <c r="G39" s="16"/>
    </row>
    <row r="40" spans="1:7" x14ac:dyDescent="0.25">
      <c r="A40" s="14">
        <v>43899</v>
      </c>
      <c r="B40" s="16">
        <v>29949000</v>
      </c>
      <c r="C40" s="16">
        <v>169.6</v>
      </c>
      <c r="D40" s="16">
        <v>175</v>
      </c>
      <c r="E40" s="16">
        <v>165.19</v>
      </c>
      <c r="F40" s="16">
        <v>169.5</v>
      </c>
      <c r="G40" s="16"/>
    </row>
    <row r="41" spans="1:7" x14ac:dyDescent="0.25">
      <c r="A41" s="14">
        <v>43900</v>
      </c>
      <c r="B41" s="16">
        <v>24517800</v>
      </c>
      <c r="C41" s="16">
        <v>174.67</v>
      </c>
      <c r="D41" s="16">
        <v>178.29</v>
      </c>
      <c r="E41" s="16">
        <v>169.5</v>
      </c>
      <c r="F41" s="16">
        <v>178.19</v>
      </c>
      <c r="G41" s="16"/>
    </row>
    <row r="42" spans="1:7" x14ac:dyDescent="0.25">
      <c r="A42" s="14">
        <v>43901</v>
      </c>
      <c r="B42" s="16">
        <v>20373900</v>
      </c>
      <c r="C42" s="16">
        <v>174.01</v>
      </c>
      <c r="D42" s="16">
        <v>175.88</v>
      </c>
      <c r="E42" s="16">
        <v>167.66</v>
      </c>
      <c r="F42" s="16">
        <v>170.24</v>
      </c>
      <c r="G42" s="16"/>
    </row>
    <row r="43" spans="1:7" x14ac:dyDescent="0.25">
      <c r="A43" s="14">
        <v>43902</v>
      </c>
      <c r="B43" s="16">
        <v>43266300</v>
      </c>
      <c r="C43" s="16">
        <v>159.54</v>
      </c>
      <c r="D43" s="16">
        <v>166.6</v>
      </c>
      <c r="E43" s="16">
        <v>154.34</v>
      </c>
      <c r="F43" s="16">
        <v>154.47</v>
      </c>
      <c r="G43" s="16"/>
    </row>
    <row r="44" spans="1:7" x14ac:dyDescent="0.25">
      <c r="A44" s="14">
        <v>43903</v>
      </c>
      <c r="B44" s="16">
        <v>35028600</v>
      </c>
      <c r="C44" s="16">
        <v>163.53</v>
      </c>
      <c r="D44" s="16">
        <v>170.79</v>
      </c>
      <c r="E44" s="16">
        <v>157.6</v>
      </c>
      <c r="F44" s="16">
        <v>170.28</v>
      </c>
      <c r="G44" s="16"/>
    </row>
    <row r="45" spans="1:7" x14ac:dyDescent="0.25">
      <c r="A45" s="14">
        <v>43906</v>
      </c>
      <c r="B45" s="16">
        <v>39120400</v>
      </c>
      <c r="C45" s="16">
        <v>152.32</v>
      </c>
      <c r="D45" s="16">
        <v>159.13</v>
      </c>
      <c r="E45" s="16">
        <v>143.1</v>
      </c>
      <c r="F45" s="16">
        <v>146.01</v>
      </c>
      <c r="G45" s="16"/>
    </row>
    <row r="46" spans="1:7" x14ac:dyDescent="0.25">
      <c r="A46" s="14">
        <v>43907</v>
      </c>
      <c r="B46" s="16">
        <v>34255600</v>
      </c>
      <c r="C46" s="16">
        <v>150.74</v>
      </c>
      <c r="D46" s="16">
        <v>153.94</v>
      </c>
      <c r="E46" s="16">
        <v>140</v>
      </c>
      <c r="F46" s="16">
        <v>149.41999999999999</v>
      </c>
      <c r="G46" s="16"/>
    </row>
    <row r="47" spans="1:7" x14ac:dyDescent="0.25">
      <c r="A47" s="14">
        <v>43908</v>
      </c>
      <c r="B47" s="16">
        <v>37553100</v>
      </c>
      <c r="C47" s="16">
        <v>139.75</v>
      </c>
      <c r="D47" s="16">
        <v>148.18</v>
      </c>
      <c r="E47" s="16">
        <v>137.1</v>
      </c>
      <c r="F47" s="16">
        <v>146.96</v>
      </c>
      <c r="G47" s="16"/>
    </row>
    <row r="48" spans="1:7" x14ac:dyDescent="0.25">
      <c r="A48" s="14">
        <v>43909</v>
      </c>
      <c r="B48" s="16">
        <v>39862300</v>
      </c>
      <c r="C48" s="16">
        <v>146.62</v>
      </c>
      <c r="D48" s="16">
        <v>159.93</v>
      </c>
      <c r="E48" s="16">
        <v>144.80000000000001</v>
      </c>
      <c r="F48" s="16">
        <v>153.13</v>
      </c>
      <c r="G48" s="16"/>
    </row>
    <row r="49" spans="1:7" x14ac:dyDescent="0.25">
      <c r="A49" s="14">
        <v>43910</v>
      </c>
      <c r="B49" s="16">
        <v>32568400</v>
      </c>
      <c r="C49" s="16">
        <v>156.02000000000001</v>
      </c>
      <c r="D49" s="16">
        <v>159.27000000000001</v>
      </c>
      <c r="E49" s="16">
        <v>148</v>
      </c>
      <c r="F49" s="16">
        <v>149.72999999999999</v>
      </c>
      <c r="G49" s="16"/>
    </row>
    <row r="50" spans="1:7" x14ac:dyDescent="0.25">
      <c r="A50" s="14">
        <v>43913</v>
      </c>
      <c r="B50" s="16">
        <v>29830800</v>
      </c>
      <c r="C50" s="16">
        <v>149.66</v>
      </c>
      <c r="D50" s="16">
        <v>152.31</v>
      </c>
      <c r="E50" s="16">
        <v>142.25</v>
      </c>
      <c r="F50" s="16">
        <v>148.1</v>
      </c>
      <c r="G50" s="16"/>
    </row>
    <row r="51" spans="1:7" x14ac:dyDescent="0.25">
      <c r="A51" s="14">
        <v>43914</v>
      </c>
      <c r="B51" s="16">
        <v>30440400</v>
      </c>
      <c r="C51" s="16">
        <v>155.21</v>
      </c>
      <c r="D51" s="16">
        <v>161.31</v>
      </c>
      <c r="E51" s="16">
        <v>152.57</v>
      </c>
      <c r="F51" s="16">
        <v>160.97999999999999</v>
      </c>
      <c r="G51" s="16"/>
    </row>
    <row r="52" spans="1:7" x14ac:dyDescent="0.25">
      <c r="A52" s="14">
        <v>43915</v>
      </c>
      <c r="B52" s="16">
        <v>35184300</v>
      </c>
      <c r="C52" s="16">
        <v>158.91999999999999</v>
      </c>
      <c r="D52" s="16">
        <v>162.99</v>
      </c>
      <c r="E52" s="16">
        <v>153.06</v>
      </c>
      <c r="F52" s="16">
        <v>156.21</v>
      </c>
      <c r="G52" s="16"/>
    </row>
    <row r="53" spans="1:7" x14ac:dyDescent="0.25">
      <c r="A53" s="14">
        <v>43916</v>
      </c>
      <c r="B53" s="16">
        <v>26556800</v>
      </c>
      <c r="C53" s="16">
        <v>158.25</v>
      </c>
      <c r="D53" s="16">
        <v>164</v>
      </c>
      <c r="E53" s="16">
        <v>157.02000000000001</v>
      </c>
      <c r="F53" s="16">
        <v>163.34</v>
      </c>
      <c r="G53" s="16"/>
    </row>
    <row r="54" spans="1:7" x14ac:dyDescent="0.25">
      <c r="A54" s="14">
        <v>43917</v>
      </c>
      <c r="B54" s="16">
        <v>24879900</v>
      </c>
      <c r="C54" s="16">
        <v>158.19999999999999</v>
      </c>
      <c r="D54" s="16">
        <v>160.09</v>
      </c>
      <c r="E54" s="16">
        <v>154.75</v>
      </c>
      <c r="F54" s="16">
        <v>156.79</v>
      </c>
      <c r="G54" s="16"/>
    </row>
    <row r="55" spans="1:7" x14ac:dyDescent="0.25">
      <c r="A55" s="14">
        <v>43920</v>
      </c>
      <c r="B55" s="16">
        <v>22515200</v>
      </c>
      <c r="C55" s="16">
        <v>159.18</v>
      </c>
      <c r="D55" s="16">
        <v>166.75</v>
      </c>
      <c r="E55" s="16">
        <v>158.06</v>
      </c>
      <c r="F55" s="16">
        <v>165.95</v>
      </c>
      <c r="G55" s="16"/>
    </row>
    <row r="56" spans="1:7" x14ac:dyDescent="0.25">
      <c r="A56" s="14">
        <v>43921</v>
      </c>
      <c r="B56" s="16">
        <v>23676300</v>
      </c>
      <c r="C56" s="16">
        <v>165.48</v>
      </c>
      <c r="D56" s="16">
        <v>170.93</v>
      </c>
      <c r="E56" s="16">
        <v>164.2</v>
      </c>
      <c r="F56" s="16">
        <v>166.8</v>
      </c>
      <c r="G56" s="16"/>
    </row>
    <row r="57" spans="1:7" x14ac:dyDescent="0.25">
      <c r="A57" s="14">
        <v>43922</v>
      </c>
      <c r="B57" s="16">
        <v>19507600</v>
      </c>
      <c r="C57" s="16">
        <v>161.62</v>
      </c>
      <c r="D57" s="16">
        <v>164.15</v>
      </c>
      <c r="E57" s="16">
        <v>158.04</v>
      </c>
      <c r="F57" s="16">
        <v>159.6</v>
      </c>
      <c r="G57" s="16"/>
    </row>
    <row r="58" spans="1:7" x14ac:dyDescent="0.25">
      <c r="A58" s="14">
        <v>43923</v>
      </c>
      <c r="B58" s="16">
        <v>20886300</v>
      </c>
      <c r="C58" s="16">
        <v>159.1</v>
      </c>
      <c r="D58" s="16">
        <v>161.35</v>
      </c>
      <c r="E58" s="16">
        <v>155.91999999999999</v>
      </c>
      <c r="F58" s="16">
        <v>158.19</v>
      </c>
      <c r="G58" s="16"/>
    </row>
    <row r="59" spans="1:7" x14ac:dyDescent="0.25">
      <c r="A59" s="14">
        <v>43924</v>
      </c>
      <c r="B59" s="16">
        <v>25983300</v>
      </c>
      <c r="C59" s="16">
        <v>157.15</v>
      </c>
      <c r="D59" s="16">
        <v>157.91</v>
      </c>
      <c r="E59" s="16">
        <v>150.83000000000001</v>
      </c>
      <c r="F59" s="16">
        <v>154.18</v>
      </c>
      <c r="G59" s="16"/>
    </row>
    <row r="60" spans="1:7" x14ac:dyDescent="0.25">
      <c r="A60" s="14">
        <v>43927</v>
      </c>
      <c r="B60" s="16">
        <v>28453600</v>
      </c>
      <c r="C60" s="16">
        <v>160.15</v>
      </c>
      <c r="D60" s="16">
        <v>166.2</v>
      </c>
      <c r="E60" s="16">
        <v>158.51</v>
      </c>
      <c r="F60" s="16">
        <v>165.55</v>
      </c>
      <c r="G60" s="16"/>
    </row>
    <row r="61" spans="1:7" x14ac:dyDescent="0.25">
      <c r="A61" s="14">
        <v>43928</v>
      </c>
      <c r="B61" s="16">
        <v>31411900</v>
      </c>
      <c r="C61" s="16">
        <v>171.79</v>
      </c>
      <c r="D61" s="16">
        <v>173.39</v>
      </c>
      <c r="E61" s="16">
        <v>166.01</v>
      </c>
      <c r="F61" s="16">
        <v>168.83</v>
      </c>
      <c r="G61" s="16"/>
    </row>
    <row r="62" spans="1:7" x14ac:dyDescent="0.25">
      <c r="A62" s="14">
        <v>43929</v>
      </c>
      <c r="B62" s="16">
        <v>21664200</v>
      </c>
      <c r="C62" s="16">
        <v>171.25</v>
      </c>
      <c r="D62" s="16">
        <v>175</v>
      </c>
      <c r="E62" s="16">
        <v>167.74</v>
      </c>
      <c r="F62" s="16">
        <v>174.28</v>
      </c>
      <c r="G62" s="16"/>
    </row>
    <row r="63" spans="1:7" x14ac:dyDescent="0.25">
      <c r="A63" s="14">
        <v>43930</v>
      </c>
      <c r="B63" s="16">
        <v>23534300</v>
      </c>
      <c r="C63" s="16">
        <v>175.9</v>
      </c>
      <c r="D63" s="16">
        <v>177.08</v>
      </c>
      <c r="E63" s="16">
        <v>171.57</v>
      </c>
      <c r="F63" s="16">
        <v>175.19</v>
      </c>
      <c r="G63" s="16"/>
    </row>
    <row r="64" spans="1:7" x14ac:dyDescent="0.25">
      <c r="A64" s="14">
        <v>43934</v>
      </c>
      <c r="B64" s="16">
        <v>19355400</v>
      </c>
      <c r="C64" s="16">
        <v>173.67</v>
      </c>
      <c r="D64" s="16">
        <v>175</v>
      </c>
      <c r="E64" s="16">
        <v>169.45</v>
      </c>
      <c r="F64" s="16">
        <v>174.79</v>
      </c>
      <c r="G64" s="16"/>
    </row>
    <row r="65" spans="1:7" x14ac:dyDescent="0.25">
      <c r="A65" s="14">
        <v>43935</v>
      </c>
      <c r="B65" s="16">
        <v>21011800</v>
      </c>
      <c r="C65" s="16">
        <v>178.98</v>
      </c>
      <c r="D65" s="16">
        <v>181.23</v>
      </c>
      <c r="E65" s="16">
        <v>176.62</v>
      </c>
      <c r="F65" s="16">
        <v>178.17</v>
      </c>
      <c r="G65" s="16"/>
    </row>
    <row r="66" spans="1:7" x14ac:dyDescent="0.25">
      <c r="A66" s="14">
        <v>43936</v>
      </c>
      <c r="B66" s="16">
        <v>17423000</v>
      </c>
      <c r="C66" s="16">
        <v>175.19</v>
      </c>
      <c r="D66" s="16">
        <v>178.19</v>
      </c>
      <c r="E66" s="16">
        <v>172.82</v>
      </c>
      <c r="F66" s="16">
        <v>176.97</v>
      </c>
      <c r="G66" s="16"/>
    </row>
    <row r="67" spans="1:7" x14ac:dyDescent="0.25">
      <c r="A67" s="14">
        <v>43937</v>
      </c>
      <c r="B67" s="16">
        <v>23593200</v>
      </c>
      <c r="C67" s="16">
        <v>177.95</v>
      </c>
      <c r="D67" s="16">
        <v>178.05</v>
      </c>
      <c r="E67" s="16">
        <v>172.51</v>
      </c>
      <c r="F67" s="16">
        <v>176.25</v>
      </c>
      <c r="G67" s="16"/>
    </row>
    <row r="68" spans="1:7" x14ac:dyDescent="0.25">
      <c r="A68" s="14">
        <v>43938</v>
      </c>
      <c r="B68" s="16">
        <v>20974800</v>
      </c>
      <c r="C68" s="16">
        <v>179.2</v>
      </c>
      <c r="D68" s="16">
        <v>180.28</v>
      </c>
      <c r="E68" s="16">
        <v>176.66</v>
      </c>
      <c r="F68" s="16">
        <v>179.24</v>
      </c>
      <c r="G68" s="16"/>
    </row>
    <row r="69" spans="1:7" x14ac:dyDescent="0.25">
      <c r="A69" s="14">
        <v>43941</v>
      </c>
      <c r="B69" s="16">
        <v>16110700</v>
      </c>
      <c r="C69" s="16">
        <v>177.41</v>
      </c>
      <c r="D69" s="16">
        <v>180.5</v>
      </c>
      <c r="E69" s="16">
        <v>176.77</v>
      </c>
      <c r="F69" s="16">
        <v>178.24</v>
      </c>
      <c r="G69" s="16"/>
    </row>
    <row r="70" spans="1:7" x14ac:dyDescent="0.25">
      <c r="A70" s="14">
        <v>43942</v>
      </c>
      <c r="B70" s="16">
        <v>24850500</v>
      </c>
      <c r="C70" s="16">
        <v>175.25</v>
      </c>
      <c r="D70" s="16">
        <v>175.38</v>
      </c>
      <c r="E70" s="16">
        <v>168.34</v>
      </c>
      <c r="F70" s="16">
        <v>170.8</v>
      </c>
      <c r="G70" s="16"/>
    </row>
    <row r="71" spans="1:7" x14ac:dyDescent="0.25">
      <c r="A71" s="14">
        <v>43943</v>
      </c>
      <c r="B71" s="16">
        <v>33369900</v>
      </c>
      <c r="C71" s="16">
        <v>178.45</v>
      </c>
      <c r="D71" s="16">
        <v>184.78</v>
      </c>
      <c r="E71" s="16">
        <v>178.14</v>
      </c>
      <c r="F71" s="16">
        <v>182.28</v>
      </c>
      <c r="G71" s="16"/>
    </row>
    <row r="72" spans="1:7" x14ac:dyDescent="0.25">
      <c r="A72" s="14">
        <v>43944</v>
      </c>
      <c r="B72" s="16">
        <v>21426600</v>
      </c>
      <c r="C72" s="16">
        <v>184.08</v>
      </c>
      <c r="D72" s="16">
        <v>187.05</v>
      </c>
      <c r="E72" s="16">
        <v>183.15</v>
      </c>
      <c r="F72" s="16">
        <v>185.13</v>
      </c>
      <c r="G72" s="16"/>
    </row>
    <row r="73" spans="1:7" x14ac:dyDescent="0.25">
      <c r="A73" s="14">
        <v>43945</v>
      </c>
      <c r="B73" s="16">
        <v>28868500</v>
      </c>
      <c r="C73" s="16">
        <v>183.23</v>
      </c>
      <c r="D73" s="16">
        <v>190.41</v>
      </c>
      <c r="E73" s="16">
        <v>180.83</v>
      </c>
      <c r="F73" s="16">
        <v>190.07</v>
      </c>
      <c r="G73" s="16"/>
    </row>
    <row r="74" spans="1:7" x14ac:dyDescent="0.25">
      <c r="A74" s="14">
        <v>43948</v>
      </c>
      <c r="B74" s="16">
        <v>29197800</v>
      </c>
      <c r="C74" s="16">
        <v>192.66</v>
      </c>
      <c r="D74" s="16">
        <v>193.75</v>
      </c>
      <c r="E74" s="16">
        <v>187.41</v>
      </c>
      <c r="F74" s="16">
        <v>187.5</v>
      </c>
      <c r="G74" s="16"/>
    </row>
    <row r="75" spans="1:7" x14ac:dyDescent="0.25">
      <c r="A75" s="14">
        <v>43949</v>
      </c>
      <c r="B75" s="16">
        <v>21731000</v>
      </c>
      <c r="C75" s="16">
        <v>188.66</v>
      </c>
      <c r="D75" s="16">
        <v>189.2</v>
      </c>
      <c r="E75" s="16">
        <v>182.56</v>
      </c>
      <c r="F75" s="16">
        <v>182.91</v>
      </c>
      <c r="G75" s="16"/>
    </row>
    <row r="76" spans="1:7" x14ac:dyDescent="0.25">
      <c r="A76" s="14">
        <v>43950</v>
      </c>
      <c r="B76" s="16">
        <v>45954500</v>
      </c>
      <c r="C76" s="16">
        <v>190.93</v>
      </c>
      <c r="D76" s="16">
        <v>196.91</v>
      </c>
      <c r="E76" s="16">
        <v>190</v>
      </c>
      <c r="F76" s="16">
        <v>194.19</v>
      </c>
      <c r="G76" s="16"/>
    </row>
    <row r="77" spans="1:7" x14ac:dyDescent="0.25">
      <c r="A77" s="14">
        <v>43951</v>
      </c>
      <c r="B77" s="16">
        <v>46230100</v>
      </c>
      <c r="C77" s="16">
        <v>206.92</v>
      </c>
      <c r="D77" s="16">
        <v>209.69</v>
      </c>
      <c r="E77" s="16">
        <v>201.57</v>
      </c>
      <c r="F77" s="16">
        <v>204.71</v>
      </c>
      <c r="G77" s="16"/>
    </row>
    <row r="78" spans="1:7" x14ac:dyDescent="0.25">
      <c r="A78" s="14">
        <v>43952</v>
      </c>
      <c r="B78" s="16">
        <v>30415600</v>
      </c>
      <c r="C78" s="16">
        <v>201.6</v>
      </c>
      <c r="D78" s="16">
        <v>207.28</v>
      </c>
      <c r="E78" s="16">
        <v>199.05</v>
      </c>
      <c r="F78" s="16">
        <v>202.27</v>
      </c>
      <c r="G78" s="16"/>
    </row>
    <row r="79" spans="1:7" x14ac:dyDescent="0.25">
      <c r="A79" s="14">
        <v>43955</v>
      </c>
      <c r="B79" s="16">
        <v>19250700</v>
      </c>
      <c r="C79" s="16">
        <v>200.2</v>
      </c>
      <c r="D79" s="16">
        <v>205.91</v>
      </c>
      <c r="E79" s="16">
        <v>198.76</v>
      </c>
      <c r="F79" s="16">
        <v>205.26</v>
      </c>
      <c r="G79" s="16"/>
    </row>
    <row r="80" spans="1:7" x14ac:dyDescent="0.25">
      <c r="A80" s="14">
        <v>43956</v>
      </c>
      <c r="B80" s="16">
        <v>21071200</v>
      </c>
      <c r="C80" s="16">
        <v>207.02</v>
      </c>
      <c r="D80" s="16">
        <v>210.38</v>
      </c>
      <c r="E80" s="16">
        <v>206.5</v>
      </c>
      <c r="F80" s="16">
        <v>207.07</v>
      </c>
      <c r="G80" s="16"/>
    </row>
    <row r="81" spans="1:7" x14ac:dyDescent="0.25">
      <c r="A81" s="14">
        <v>43957</v>
      </c>
      <c r="B81" s="16">
        <v>21857000</v>
      </c>
      <c r="C81" s="16">
        <v>208.12</v>
      </c>
      <c r="D81" s="16">
        <v>211.6</v>
      </c>
      <c r="E81" s="16">
        <v>206.66</v>
      </c>
      <c r="F81" s="16">
        <v>208.47</v>
      </c>
      <c r="G81" s="16"/>
    </row>
    <row r="82" spans="1:7" x14ac:dyDescent="0.25">
      <c r="A82" s="14">
        <v>43958</v>
      </c>
      <c r="B82" s="16">
        <v>15152000</v>
      </c>
      <c r="C82" s="16">
        <v>211.16</v>
      </c>
      <c r="D82" s="16">
        <v>211.6</v>
      </c>
      <c r="E82" s="16">
        <v>209.04</v>
      </c>
      <c r="F82" s="16">
        <v>211.26</v>
      </c>
      <c r="G82" s="16"/>
    </row>
    <row r="83" spans="1:7" x14ac:dyDescent="0.25">
      <c r="A83" s="14">
        <v>43959</v>
      </c>
      <c r="B83" s="16">
        <v>12524000</v>
      </c>
      <c r="C83" s="16">
        <v>212.24</v>
      </c>
      <c r="D83" s="16">
        <v>213.21</v>
      </c>
      <c r="E83" s="16">
        <v>210.85</v>
      </c>
      <c r="F83" s="16">
        <v>212.35</v>
      </c>
      <c r="G83" s="16"/>
    </row>
    <row r="84" spans="1:7" x14ac:dyDescent="0.25">
      <c r="A84" s="14">
        <v>43962</v>
      </c>
      <c r="B84" s="16">
        <v>12911900</v>
      </c>
      <c r="C84" s="16">
        <v>210.89</v>
      </c>
      <c r="D84" s="16">
        <v>215</v>
      </c>
      <c r="E84" s="16">
        <v>210.37</v>
      </c>
      <c r="F84" s="16">
        <v>213.18</v>
      </c>
      <c r="G84" s="16"/>
    </row>
    <row r="85" spans="1:7" x14ac:dyDescent="0.25">
      <c r="A85" s="14">
        <v>43963</v>
      </c>
      <c r="B85" s="16">
        <v>14704600</v>
      </c>
      <c r="C85" s="16">
        <v>213.29</v>
      </c>
      <c r="D85" s="16">
        <v>215.28</v>
      </c>
      <c r="E85" s="16">
        <v>210</v>
      </c>
      <c r="F85" s="16">
        <v>210.1</v>
      </c>
      <c r="G85" s="16"/>
    </row>
    <row r="86" spans="1:7" x14ac:dyDescent="0.25">
      <c r="A86" s="14">
        <v>43964</v>
      </c>
      <c r="B86" s="16">
        <v>20684600</v>
      </c>
      <c r="C86" s="16">
        <v>209.43</v>
      </c>
      <c r="D86" s="16">
        <v>210.78</v>
      </c>
      <c r="E86" s="16">
        <v>202.11</v>
      </c>
      <c r="F86" s="16">
        <v>205.1</v>
      </c>
      <c r="G86" s="16"/>
    </row>
    <row r="87" spans="1:7" x14ac:dyDescent="0.25">
      <c r="A87" s="14">
        <v>43965</v>
      </c>
      <c r="B87" s="16">
        <v>17178900</v>
      </c>
      <c r="C87" s="16">
        <v>202.56</v>
      </c>
      <c r="D87" s="16">
        <v>206.93</v>
      </c>
      <c r="E87" s="16">
        <v>200.69</v>
      </c>
      <c r="F87" s="16">
        <v>206.81</v>
      </c>
      <c r="G87" s="16"/>
    </row>
    <row r="88" spans="1:7" x14ac:dyDescent="0.25">
      <c r="A88" s="14">
        <v>43966</v>
      </c>
      <c r="B88" s="16">
        <v>19383200</v>
      </c>
      <c r="C88" s="16">
        <v>205.27</v>
      </c>
      <c r="D88" s="16">
        <v>211.34</v>
      </c>
      <c r="E88" s="16">
        <v>204.12</v>
      </c>
      <c r="F88" s="16">
        <v>210.88</v>
      </c>
      <c r="G88" s="16"/>
    </row>
    <row r="89" spans="1:7" x14ac:dyDescent="0.25">
      <c r="A89" s="14">
        <v>43969</v>
      </c>
      <c r="B89" s="16">
        <v>20167400</v>
      </c>
      <c r="C89" s="16">
        <v>212.15</v>
      </c>
      <c r="D89" s="16">
        <v>214.64</v>
      </c>
      <c r="E89" s="16">
        <v>210.94</v>
      </c>
      <c r="F89" s="16">
        <v>213.19</v>
      </c>
      <c r="G89" s="16"/>
    </row>
    <row r="90" spans="1:7" x14ac:dyDescent="0.25">
      <c r="A90" s="14">
        <v>43970</v>
      </c>
      <c r="B90" s="16">
        <v>31843200</v>
      </c>
      <c r="C90" s="16">
        <v>213.27</v>
      </c>
      <c r="D90" s="16">
        <v>220.49</v>
      </c>
      <c r="E90" s="16">
        <v>212.83</v>
      </c>
      <c r="F90" s="16">
        <v>216.88</v>
      </c>
      <c r="G90" s="16"/>
    </row>
    <row r="91" spans="1:7" x14ac:dyDescent="0.25">
      <c r="A91" s="14">
        <v>43971</v>
      </c>
      <c r="B91" s="16">
        <v>50162900</v>
      </c>
      <c r="C91" s="16">
        <v>223.5</v>
      </c>
      <c r="D91" s="16">
        <v>231.34</v>
      </c>
      <c r="E91" s="16">
        <v>223.19</v>
      </c>
      <c r="F91" s="16">
        <v>229.97</v>
      </c>
      <c r="G91" s="16"/>
    </row>
    <row r="92" spans="1:7" x14ac:dyDescent="0.25">
      <c r="A92" s="14">
        <v>43972</v>
      </c>
      <c r="B92" s="16">
        <v>47782600</v>
      </c>
      <c r="C92" s="16">
        <v>234.72</v>
      </c>
      <c r="D92" s="16">
        <v>237.2</v>
      </c>
      <c r="E92" s="16">
        <v>231.2</v>
      </c>
      <c r="F92" s="16">
        <v>231.39</v>
      </c>
      <c r="G92" s="16"/>
    </row>
    <row r="93" spans="1:7" x14ac:dyDescent="0.25">
      <c r="A93" s="14">
        <v>43973</v>
      </c>
      <c r="B93" s="16">
        <v>33925600</v>
      </c>
      <c r="C93" s="16">
        <v>231.51</v>
      </c>
      <c r="D93" s="16">
        <v>235.99</v>
      </c>
      <c r="E93" s="16">
        <v>228.74</v>
      </c>
      <c r="F93" s="16">
        <v>234.91</v>
      </c>
      <c r="G93" s="16"/>
    </row>
    <row r="94" spans="1:7" x14ac:dyDescent="0.25">
      <c r="A94" s="14">
        <v>43977</v>
      </c>
      <c r="B94" s="16">
        <v>33178300</v>
      </c>
      <c r="C94" s="16">
        <v>239.77</v>
      </c>
      <c r="D94" s="16">
        <v>240.9</v>
      </c>
      <c r="E94" s="16">
        <v>231.67</v>
      </c>
      <c r="F94" s="16">
        <v>232.2</v>
      </c>
      <c r="G94" s="16"/>
    </row>
    <row r="95" spans="1:7" x14ac:dyDescent="0.25">
      <c r="A95" s="14">
        <v>43978</v>
      </c>
      <c r="B95" s="16">
        <v>34697600</v>
      </c>
      <c r="C95" s="16">
        <v>229.07</v>
      </c>
      <c r="D95" s="16">
        <v>230.56</v>
      </c>
      <c r="E95" s="16">
        <v>221.13</v>
      </c>
      <c r="F95" s="16">
        <v>229.14</v>
      </c>
      <c r="G95" s="16"/>
    </row>
    <row r="96" spans="1:7" x14ac:dyDescent="0.25">
      <c r="A96" s="14">
        <v>43979</v>
      </c>
      <c r="B96" s="16">
        <v>29377200</v>
      </c>
      <c r="C96" s="16">
        <v>224.3</v>
      </c>
      <c r="D96" s="16">
        <v>231.63</v>
      </c>
      <c r="E96" s="16">
        <v>224</v>
      </c>
      <c r="F96" s="16">
        <v>225.46</v>
      </c>
      <c r="G96" s="16"/>
    </row>
    <row r="97" spans="1:6" x14ac:dyDescent="0.25">
      <c r="A97" s="14">
        <v>43980</v>
      </c>
      <c r="B97">
        <v>23322500</v>
      </c>
      <c r="C97">
        <v>225.2</v>
      </c>
      <c r="D97">
        <v>227.49</v>
      </c>
      <c r="E97">
        <v>222.88</v>
      </c>
      <c r="F97">
        <v>225.09</v>
      </c>
    </row>
    <row r="98" spans="1:6" x14ac:dyDescent="0.25">
      <c r="A98" s="14">
        <v>43983</v>
      </c>
      <c r="B98">
        <v>18223800</v>
      </c>
      <c r="C98">
        <v>224.59</v>
      </c>
      <c r="D98">
        <v>232.44</v>
      </c>
      <c r="E98">
        <v>223.5</v>
      </c>
      <c r="F98">
        <v>231.91</v>
      </c>
    </row>
    <row r="99" spans="1:6" x14ac:dyDescent="0.25">
      <c r="A99" s="14">
        <v>43984</v>
      </c>
      <c r="B99">
        <v>20919000</v>
      </c>
      <c r="C99">
        <v>230.94</v>
      </c>
      <c r="D99">
        <v>233</v>
      </c>
      <c r="E99">
        <v>226.56</v>
      </c>
      <c r="F99">
        <v>232.72</v>
      </c>
    </row>
    <row r="100" spans="1:6" x14ac:dyDescent="0.25">
      <c r="A100" s="14">
        <v>43985</v>
      </c>
      <c r="B100">
        <v>15380300</v>
      </c>
      <c r="C100">
        <v>232.11</v>
      </c>
      <c r="D100">
        <v>232.65</v>
      </c>
      <c r="E100">
        <v>228.53</v>
      </c>
      <c r="F100">
        <v>230.16</v>
      </c>
    </row>
    <row r="101" spans="1:6" x14ac:dyDescent="0.25">
      <c r="A101" s="14">
        <v>43986</v>
      </c>
      <c r="B101">
        <v>17041500</v>
      </c>
      <c r="C101">
        <v>229.56</v>
      </c>
      <c r="D101">
        <v>231.63</v>
      </c>
      <c r="E101">
        <v>224.61</v>
      </c>
      <c r="F101">
        <v>226.29</v>
      </c>
    </row>
    <row r="102" spans="1:6" x14ac:dyDescent="0.25">
      <c r="A102" s="14">
        <v>43987</v>
      </c>
      <c r="B102">
        <v>16750400</v>
      </c>
      <c r="C102">
        <v>226.71</v>
      </c>
      <c r="D102">
        <v>231.35</v>
      </c>
      <c r="E102">
        <v>225.31</v>
      </c>
      <c r="F102">
        <v>230.77</v>
      </c>
    </row>
    <row r="103" spans="1:6" x14ac:dyDescent="0.25">
      <c r="A103" s="14">
        <v>43990</v>
      </c>
      <c r="B103">
        <v>15466500</v>
      </c>
      <c r="C103">
        <v>229.03</v>
      </c>
      <c r="D103">
        <v>231.55</v>
      </c>
      <c r="E103">
        <v>227.41</v>
      </c>
      <c r="F103">
        <v>231.4</v>
      </c>
    </row>
    <row r="104" spans="1:6" x14ac:dyDescent="0.25">
      <c r="A104" s="14">
        <v>43991</v>
      </c>
      <c r="B104">
        <v>27462900</v>
      </c>
      <c r="C104">
        <v>231.52</v>
      </c>
      <c r="D104">
        <v>239.77</v>
      </c>
      <c r="E104">
        <v>230.41</v>
      </c>
      <c r="F104">
        <v>238.67</v>
      </c>
    </row>
    <row r="105" spans="1:6" x14ac:dyDescent="0.25">
      <c r="A105" s="14">
        <v>43992</v>
      </c>
      <c r="B105">
        <v>20720700</v>
      </c>
      <c r="C105">
        <v>240.96</v>
      </c>
      <c r="D105">
        <v>241.21</v>
      </c>
      <c r="E105">
        <v>235.28</v>
      </c>
      <c r="F105">
        <v>236.73</v>
      </c>
    </row>
    <row r="106" spans="1:6" x14ac:dyDescent="0.25">
      <c r="A106" s="14">
        <v>43993</v>
      </c>
      <c r="B106">
        <v>26708200</v>
      </c>
      <c r="C106">
        <v>229.94</v>
      </c>
      <c r="D106">
        <v>232.89</v>
      </c>
      <c r="E106">
        <v>223.55</v>
      </c>
      <c r="F106">
        <v>224.43</v>
      </c>
    </row>
    <row r="107" spans="1:6" x14ac:dyDescent="0.25">
      <c r="A107" s="14">
        <v>43994</v>
      </c>
      <c r="B107">
        <v>22071700</v>
      </c>
      <c r="C107">
        <v>229.9</v>
      </c>
      <c r="D107">
        <v>231.66</v>
      </c>
      <c r="E107">
        <v>224.5</v>
      </c>
      <c r="F107">
        <v>228.58</v>
      </c>
    </row>
    <row r="108" spans="1:6" x14ac:dyDescent="0.25">
      <c r="A108" s="14">
        <v>43997</v>
      </c>
      <c r="B108">
        <v>15340300</v>
      </c>
      <c r="C108">
        <v>225.09</v>
      </c>
      <c r="D108">
        <v>233.77</v>
      </c>
      <c r="E108">
        <v>224.8</v>
      </c>
      <c r="F108">
        <v>232.5</v>
      </c>
    </row>
    <row r="109" spans="1:6" x14ac:dyDescent="0.25">
      <c r="A109" s="14">
        <v>43998</v>
      </c>
      <c r="B109">
        <v>15236700</v>
      </c>
      <c r="C109">
        <v>237.14</v>
      </c>
      <c r="D109">
        <v>238.46</v>
      </c>
      <c r="E109">
        <v>233</v>
      </c>
      <c r="F109">
        <v>235.65</v>
      </c>
    </row>
    <row r="110" spans="1:6" x14ac:dyDescent="0.25">
      <c r="A110" s="14">
        <v>43999</v>
      </c>
      <c r="B110">
        <v>19552800</v>
      </c>
      <c r="C110">
        <v>235</v>
      </c>
      <c r="D110">
        <v>237.59</v>
      </c>
      <c r="E110">
        <v>231.73</v>
      </c>
      <c r="F110">
        <v>235.53</v>
      </c>
    </row>
    <row r="111" spans="1:6" x14ac:dyDescent="0.25">
      <c r="A111" s="14">
        <v>44000</v>
      </c>
      <c r="B111">
        <v>15782500</v>
      </c>
      <c r="C111">
        <v>234.99</v>
      </c>
      <c r="D111">
        <v>236.14</v>
      </c>
      <c r="E111">
        <v>232.15</v>
      </c>
      <c r="F111">
        <v>235.94</v>
      </c>
    </row>
    <row r="112" spans="1:6" x14ac:dyDescent="0.25">
      <c r="A112" s="14">
        <v>44001</v>
      </c>
      <c r="B112">
        <v>30081300</v>
      </c>
      <c r="C112">
        <v>237.79</v>
      </c>
      <c r="D112">
        <v>240.83</v>
      </c>
      <c r="E112">
        <v>235.55</v>
      </c>
      <c r="F112">
        <v>238.79</v>
      </c>
    </row>
    <row r="113" spans="1:6" x14ac:dyDescent="0.25">
      <c r="A113" s="14">
        <v>44004</v>
      </c>
      <c r="B113">
        <v>18917800</v>
      </c>
      <c r="C113">
        <v>238.56</v>
      </c>
      <c r="D113">
        <v>240.7</v>
      </c>
      <c r="E113">
        <v>236.91</v>
      </c>
      <c r="F113">
        <v>239.22</v>
      </c>
    </row>
    <row r="114" spans="1:6" x14ac:dyDescent="0.25">
      <c r="A114" s="14">
        <v>44005</v>
      </c>
      <c r="B114">
        <v>24017900</v>
      </c>
      <c r="C114">
        <v>241.28</v>
      </c>
      <c r="D114">
        <v>245.19</v>
      </c>
      <c r="E114">
        <v>239.86</v>
      </c>
      <c r="F114">
        <v>242.24</v>
      </c>
    </row>
    <row r="115" spans="1:6" x14ac:dyDescent="0.25">
      <c r="A115" s="14">
        <v>44006</v>
      </c>
      <c r="B115">
        <v>20834900</v>
      </c>
      <c r="C115">
        <v>241.2</v>
      </c>
      <c r="D115">
        <v>243.22</v>
      </c>
      <c r="E115">
        <v>232.68</v>
      </c>
      <c r="F115">
        <v>234.02</v>
      </c>
    </row>
    <row r="116" spans="1:6" x14ac:dyDescent="0.25">
      <c r="A116" s="14">
        <v>44007</v>
      </c>
      <c r="B116">
        <v>18704300</v>
      </c>
      <c r="C116">
        <v>234.62</v>
      </c>
      <c r="D116">
        <v>237.3</v>
      </c>
      <c r="E116">
        <v>232.74</v>
      </c>
      <c r="F116">
        <v>235.68</v>
      </c>
    </row>
    <row r="117" spans="1:6" x14ac:dyDescent="0.25">
      <c r="A117" s="14">
        <v>44008</v>
      </c>
      <c r="B117">
        <v>76343900</v>
      </c>
      <c r="C117">
        <v>232.64</v>
      </c>
      <c r="D117">
        <v>233.09</v>
      </c>
      <c r="E117">
        <v>215.4</v>
      </c>
      <c r="F117">
        <v>216.08</v>
      </c>
    </row>
    <row r="118" spans="1:6" x14ac:dyDescent="0.25">
      <c r="A118" s="14">
        <v>44011</v>
      </c>
      <c r="B118">
        <v>58514300</v>
      </c>
      <c r="C118">
        <v>209.75</v>
      </c>
      <c r="D118">
        <v>220.75</v>
      </c>
      <c r="E118">
        <v>207.11</v>
      </c>
      <c r="F118">
        <v>220.64</v>
      </c>
    </row>
    <row r="119" spans="1:6" x14ac:dyDescent="0.25">
      <c r="A119" s="14">
        <v>44012</v>
      </c>
      <c r="B119">
        <v>33927100</v>
      </c>
      <c r="C119">
        <v>220.59</v>
      </c>
      <c r="D119">
        <v>227.5</v>
      </c>
      <c r="E119">
        <v>218.47</v>
      </c>
      <c r="F119">
        <v>227.07</v>
      </c>
    </row>
    <row r="120" spans="1:6" x14ac:dyDescent="0.25">
      <c r="A120" s="14">
        <v>44013</v>
      </c>
      <c r="B120">
        <v>43399700</v>
      </c>
      <c r="C120">
        <v>228.5</v>
      </c>
      <c r="D120">
        <v>239</v>
      </c>
      <c r="E120">
        <v>227.56</v>
      </c>
      <c r="F120">
        <v>237.55</v>
      </c>
    </row>
    <row r="121" spans="1:6" x14ac:dyDescent="0.25">
      <c r="A121" s="14">
        <v>44014</v>
      </c>
      <c r="B121">
        <v>30633600</v>
      </c>
      <c r="C121">
        <v>239</v>
      </c>
      <c r="D121">
        <v>240</v>
      </c>
      <c r="E121">
        <v>232.61</v>
      </c>
      <c r="F121">
        <v>233.42</v>
      </c>
    </row>
    <row r="122" spans="1:6" x14ac:dyDescent="0.25">
      <c r="A122" s="14">
        <v>44018</v>
      </c>
      <c r="B122">
        <v>26206200</v>
      </c>
      <c r="C122">
        <v>233.76</v>
      </c>
      <c r="D122">
        <v>240.4</v>
      </c>
      <c r="E122">
        <v>232.27</v>
      </c>
      <c r="F122">
        <v>240.28</v>
      </c>
    </row>
    <row r="123" spans="1:6" x14ac:dyDescent="0.25">
      <c r="A123" s="14">
        <v>44019</v>
      </c>
      <c r="B123">
        <v>27887800</v>
      </c>
      <c r="C123">
        <v>239.41</v>
      </c>
      <c r="D123">
        <v>247.65</v>
      </c>
      <c r="E123">
        <v>238.82</v>
      </c>
      <c r="F123">
        <v>240.86</v>
      </c>
    </row>
    <row r="124" spans="1:6" x14ac:dyDescent="0.25">
      <c r="A124" s="14">
        <v>44020</v>
      </c>
      <c r="B124">
        <v>29791300</v>
      </c>
      <c r="C124">
        <v>238.11</v>
      </c>
      <c r="D124">
        <v>246.99</v>
      </c>
      <c r="E124">
        <v>236.59</v>
      </c>
      <c r="F124">
        <v>243.58</v>
      </c>
    </row>
    <row r="125" spans="1:6" x14ac:dyDescent="0.25">
      <c r="A125" s="14">
        <v>44021</v>
      </c>
      <c r="B125">
        <v>22174900</v>
      </c>
      <c r="C125">
        <v>245</v>
      </c>
      <c r="D125">
        <v>246.53</v>
      </c>
      <c r="E125">
        <v>239.24</v>
      </c>
      <c r="F125">
        <v>244.5</v>
      </c>
    </row>
    <row r="126" spans="1:6" x14ac:dyDescent="0.25">
      <c r="A126" s="14">
        <v>44022</v>
      </c>
      <c r="B126">
        <v>22982700</v>
      </c>
      <c r="C126">
        <v>243.69</v>
      </c>
      <c r="D126">
        <v>245.49</v>
      </c>
      <c r="E126">
        <v>239.32</v>
      </c>
      <c r="F126">
        <v>245.07</v>
      </c>
    </row>
    <row r="127" spans="1:6" x14ac:dyDescent="0.25">
      <c r="A127" s="14">
        <v>44025</v>
      </c>
      <c r="B127">
        <v>24674900</v>
      </c>
      <c r="C127">
        <v>247.01</v>
      </c>
      <c r="D127">
        <v>250.15</v>
      </c>
      <c r="E127">
        <v>238.42</v>
      </c>
      <c r="F127">
        <v>239</v>
      </c>
    </row>
    <row r="128" spans="1:6" x14ac:dyDescent="0.25">
      <c r="A128" s="14">
        <v>44026</v>
      </c>
      <c r="B128">
        <v>23378100</v>
      </c>
      <c r="C128">
        <v>236.76</v>
      </c>
      <c r="D128">
        <v>240.33</v>
      </c>
      <c r="E128">
        <v>232.03</v>
      </c>
      <c r="F128">
        <v>239.73</v>
      </c>
    </row>
    <row r="129" spans="1:6" x14ac:dyDescent="0.25">
      <c r="A129" s="14">
        <v>44027</v>
      </c>
      <c r="B129">
        <v>19133600</v>
      </c>
      <c r="C129">
        <v>241.55</v>
      </c>
      <c r="D129">
        <v>244.82</v>
      </c>
      <c r="E129">
        <v>238.05</v>
      </c>
      <c r="F129">
        <v>240.28</v>
      </c>
    </row>
    <row r="130" spans="1:6" x14ac:dyDescent="0.25">
      <c r="A130" s="14">
        <v>44028</v>
      </c>
      <c r="B130">
        <v>18880700</v>
      </c>
      <c r="C130">
        <v>238</v>
      </c>
      <c r="D130">
        <v>241.76</v>
      </c>
      <c r="E130">
        <v>236.33</v>
      </c>
      <c r="F130">
        <v>240.93</v>
      </c>
    </row>
    <row r="131" spans="1:6" x14ac:dyDescent="0.25">
      <c r="A131" s="14">
        <v>44029</v>
      </c>
      <c r="B131">
        <v>18152400</v>
      </c>
      <c r="C131">
        <v>241</v>
      </c>
      <c r="D131">
        <v>244.16</v>
      </c>
      <c r="E131">
        <v>237.86</v>
      </c>
      <c r="F131">
        <v>242.03</v>
      </c>
    </row>
    <row r="132" spans="1:6" x14ac:dyDescent="0.25">
      <c r="A132" s="14">
        <v>44032</v>
      </c>
      <c r="B132">
        <v>20872200</v>
      </c>
      <c r="C132">
        <v>240.06</v>
      </c>
      <c r="D132">
        <v>246.05</v>
      </c>
      <c r="E132">
        <v>235.64</v>
      </c>
      <c r="F132">
        <v>245.42</v>
      </c>
    </row>
    <row r="133" spans="1:6" x14ac:dyDescent="0.25">
      <c r="A133" s="14">
        <v>44033</v>
      </c>
      <c r="B133">
        <v>19409700</v>
      </c>
      <c r="C133">
        <v>246.22</v>
      </c>
      <c r="D133">
        <v>246.91</v>
      </c>
      <c r="E133">
        <v>240.08</v>
      </c>
      <c r="F133">
        <v>241.75</v>
      </c>
    </row>
    <row r="134" spans="1:6" x14ac:dyDescent="0.25">
      <c r="A134" s="14">
        <v>44034</v>
      </c>
      <c r="B134">
        <v>15427900</v>
      </c>
      <c r="C134">
        <v>240.26</v>
      </c>
      <c r="D134">
        <v>241.9</v>
      </c>
      <c r="E134">
        <v>238.12</v>
      </c>
      <c r="F134">
        <v>239.87</v>
      </c>
    </row>
    <row r="135" spans="1:6" x14ac:dyDescent="0.25">
      <c r="A135" s="14">
        <v>44035</v>
      </c>
      <c r="B135">
        <v>21771800</v>
      </c>
      <c r="C135">
        <v>239.63</v>
      </c>
      <c r="D135">
        <v>242.42</v>
      </c>
      <c r="E135">
        <v>231.75</v>
      </c>
      <c r="F135">
        <v>232.6</v>
      </c>
    </row>
    <row r="136" spans="1:6" x14ac:dyDescent="0.25">
      <c r="A136" s="14">
        <v>44036</v>
      </c>
      <c r="B136">
        <v>18325800</v>
      </c>
      <c r="C136">
        <v>230.19</v>
      </c>
      <c r="D136">
        <v>233.49</v>
      </c>
      <c r="E136">
        <v>226.9</v>
      </c>
      <c r="F136">
        <v>230.71</v>
      </c>
    </row>
    <row r="137" spans="1:6" x14ac:dyDescent="0.25">
      <c r="A137" s="14">
        <v>44039</v>
      </c>
      <c r="B137">
        <v>13163100</v>
      </c>
      <c r="C137">
        <v>231.46</v>
      </c>
      <c r="D137">
        <v>234.95</v>
      </c>
      <c r="E137">
        <v>230.83</v>
      </c>
      <c r="F137">
        <v>233.5</v>
      </c>
    </row>
    <row r="138" spans="1:6" x14ac:dyDescent="0.25">
      <c r="A138" s="14">
        <v>44040</v>
      </c>
      <c r="B138">
        <v>14170100</v>
      </c>
      <c r="C138">
        <v>234.63</v>
      </c>
      <c r="D138">
        <v>234.96</v>
      </c>
      <c r="E138">
        <v>229.83</v>
      </c>
      <c r="F138">
        <v>230.12</v>
      </c>
    </row>
    <row r="139" spans="1:6" x14ac:dyDescent="0.25">
      <c r="A139" s="14">
        <v>44041</v>
      </c>
      <c r="B139">
        <v>13588300</v>
      </c>
      <c r="C139">
        <v>231.14</v>
      </c>
      <c r="D139">
        <v>233.7</v>
      </c>
      <c r="E139">
        <v>230.31</v>
      </c>
      <c r="F139">
        <v>233.29</v>
      </c>
    </row>
    <row r="140" spans="1:6" x14ac:dyDescent="0.25">
      <c r="A140" s="14">
        <v>44042</v>
      </c>
      <c r="B140">
        <v>20615300</v>
      </c>
      <c r="C140">
        <v>230.22</v>
      </c>
      <c r="D140">
        <v>234.89</v>
      </c>
      <c r="E140">
        <v>229</v>
      </c>
      <c r="F140">
        <v>234.5</v>
      </c>
    </row>
    <row r="141" spans="1:6" x14ac:dyDescent="0.25">
      <c r="A141" s="14">
        <v>44043</v>
      </c>
      <c r="B141">
        <v>53005100</v>
      </c>
      <c r="C141">
        <v>255.82</v>
      </c>
      <c r="D141">
        <v>255.85</v>
      </c>
      <c r="E141">
        <v>249</v>
      </c>
      <c r="F141">
        <v>253.67</v>
      </c>
    </row>
    <row r="142" spans="1:6" x14ac:dyDescent="0.25">
      <c r="A142" s="14">
        <v>44046</v>
      </c>
      <c r="B142">
        <v>23124900</v>
      </c>
      <c r="C142">
        <v>252.65</v>
      </c>
      <c r="D142">
        <v>255.4</v>
      </c>
      <c r="E142">
        <v>250.33</v>
      </c>
      <c r="F142">
        <v>251.96</v>
      </c>
    </row>
    <row r="143" spans="1:6" x14ac:dyDescent="0.25">
      <c r="A143" s="14">
        <v>44047</v>
      </c>
      <c r="B143">
        <v>17183500</v>
      </c>
      <c r="C143">
        <v>251.56</v>
      </c>
      <c r="D143">
        <v>252.8</v>
      </c>
      <c r="E143">
        <v>247.43</v>
      </c>
      <c r="F143">
        <v>249.83</v>
      </c>
    </row>
    <row r="144" spans="1:6" x14ac:dyDescent="0.25">
      <c r="A144" s="14">
        <v>44048</v>
      </c>
      <c r="B144">
        <v>13088400</v>
      </c>
      <c r="C144">
        <v>250.19</v>
      </c>
      <c r="D144">
        <v>252.27</v>
      </c>
      <c r="E144">
        <v>247.77</v>
      </c>
      <c r="F144">
        <v>249.12</v>
      </c>
    </row>
    <row r="145" spans="1:6" x14ac:dyDescent="0.25">
      <c r="A145" s="14">
        <v>44049</v>
      </c>
      <c r="B145">
        <v>45241600</v>
      </c>
      <c r="C145">
        <v>249.04</v>
      </c>
      <c r="D145">
        <v>266.60000000000002</v>
      </c>
      <c r="E145">
        <v>248.67</v>
      </c>
      <c r="F145">
        <v>265.27999999999997</v>
      </c>
    </row>
    <row r="146" spans="1:6" x14ac:dyDescent="0.25">
      <c r="A146" s="14">
        <v>44050</v>
      </c>
      <c r="B146">
        <v>72735500</v>
      </c>
      <c r="C146">
        <v>264.08</v>
      </c>
      <c r="D146">
        <v>278.89</v>
      </c>
      <c r="E146">
        <v>263.43</v>
      </c>
      <c r="F146">
        <v>268.44</v>
      </c>
    </row>
    <row r="147" spans="1:6" x14ac:dyDescent="0.25">
      <c r="A147" s="14">
        <v>44053</v>
      </c>
      <c r="B147">
        <v>30248800</v>
      </c>
      <c r="C147">
        <v>268.04000000000002</v>
      </c>
      <c r="D147">
        <v>273.86</v>
      </c>
      <c r="E147">
        <v>259.69</v>
      </c>
      <c r="F147">
        <v>263</v>
      </c>
    </row>
    <row r="148" spans="1:6" x14ac:dyDescent="0.25">
      <c r="A148" s="14">
        <v>44054</v>
      </c>
      <c r="B148">
        <v>28238300</v>
      </c>
      <c r="C148">
        <v>260.19</v>
      </c>
      <c r="D148">
        <v>265.92</v>
      </c>
      <c r="E148">
        <v>255.13</v>
      </c>
      <c r="F148">
        <v>256.13</v>
      </c>
    </row>
    <row r="149" spans="1:6" x14ac:dyDescent="0.25">
      <c r="A149" s="14">
        <v>44055</v>
      </c>
      <c r="B149">
        <v>21428300</v>
      </c>
      <c r="C149">
        <v>258.97000000000003</v>
      </c>
      <c r="D149">
        <v>263.89999999999998</v>
      </c>
      <c r="E149">
        <v>258.11</v>
      </c>
      <c r="F149">
        <v>259.89</v>
      </c>
    </row>
    <row r="150" spans="1:6" x14ac:dyDescent="0.25">
      <c r="A150" s="14">
        <v>44056</v>
      </c>
      <c r="B150">
        <v>17374000</v>
      </c>
      <c r="C150">
        <v>261.55</v>
      </c>
      <c r="D150">
        <v>265.16000000000003</v>
      </c>
      <c r="E150">
        <v>259.57</v>
      </c>
      <c r="F150">
        <v>261.3</v>
      </c>
    </row>
    <row r="151" spans="1:6" x14ac:dyDescent="0.25">
      <c r="A151" s="14">
        <v>44057</v>
      </c>
      <c r="B151">
        <v>14792700</v>
      </c>
      <c r="C151">
        <v>262.31</v>
      </c>
      <c r="D151">
        <v>262.64999999999998</v>
      </c>
      <c r="E151">
        <v>258.68</v>
      </c>
      <c r="F151">
        <v>261.24</v>
      </c>
    </row>
    <row r="152" spans="1:6" x14ac:dyDescent="0.25">
      <c r="A152" s="14">
        <v>44060</v>
      </c>
      <c r="B152">
        <v>13351100</v>
      </c>
      <c r="C152">
        <v>262.5</v>
      </c>
      <c r="D152">
        <v>264.10000000000002</v>
      </c>
      <c r="E152">
        <v>259.39999999999998</v>
      </c>
      <c r="F152">
        <v>261.16000000000003</v>
      </c>
    </row>
    <row r="153" spans="1:6" x14ac:dyDescent="0.25">
      <c r="A153" s="14">
        <v>44061</v>
      </c>
      <c r="B153">
        <v>18690400</v>
      </c>
      <c r="C153">
        <v>260.95</v>
      </c>
      <c r="D153">
        <v>265.14999999999998</v>
      </c>
      <c r="E153">
        <v>259.26</v>
      </c>
      <c r="F153">
        <v>262.33999999999997</v>
      </c>
    </row>
    <row r="154" spans="1:6" x14ac:dyDescent="0.25">
      <c r="A154" s="14">
        <v>44062</v>
      </c>
      <c r="B154">
        <v>23291500</v>
      </c>
      <c r="C154">
        <v>261.39</v>
      </c>
      <c r="D154">
        <v>267.91000000000003</v>
      </c>
      <c r="E154">
        <v>261.35000000000002</v>
      </c>
      <c r="F154">
        <v>262.58999999999997</v>
      </c>
    </row>
    <row r="155" spans="1:6" x14ac:dyDescent="0.25">
      <c r="A155" s="14">
        <v>44063</v>
      </c>
      <c r="B155">
        <v>20299700</v>
      </c>
      <c r="C155">
        <v>261.5</v>
      </c>
      <c r="D155">
        <v>269.63</v>
      </c>
      <c r="E155">
        <v>261.45999999999998</v>
      </c>
      <c r="F155">
        <v>269.01</v>
      </c>
    </row>
    <row r="156" spans="1:6" x14ac:dyDescent="0.25">
      <c r="A156" s="14">
        <v>44064</v>
      </c>
      <c r="B156">
        <v>15538600</v>
      </c>
      <c r="C156">
        <v>268.69</v>
      </c>
      <c r="D156">
        <v>270.49</v>
      </c>
      <c r="E156">
        <v>266.42</v>
      </c>
      <c r="F156">
        <v>267.01</v>
      </c>
    </row>
    <row r="157" spans="1:6" x14ac:dyDescent="0.25">
      <c r="A157" s="14">
        <v>44067</v>
      </c>
      <c r="B157">
        <v>23685600</v>
      </c>
      <c r="C157">
        <v>271.07</v>
      </c>
      <c r="D157">
        <v>277.25</v>
      </c>
      <c r="E157">
        <v>268.77</v>
      </c>
      <c r="F157">
        <v>271.39</v>
      </c>
    </row>
    <row r="158" spans="1:6" x14ac:dyDescent="0.25">
      <c r="A158" s="14">
        <v>44068</v>
      </c>
      <c r="B158">
        <v>42127200</v>
      </c>
      <c r="C158">
        <v>272.41000000000003</v>
      </c>
      <c r="D158">
        <v>283.08999999999997</v>
      </c>
      <c r="E158">
        <v>270.26</v>
      </c>
      <c r="F158">
        <v>280.82</v>
      </c>
    </row>
    <row r="159" spans="1:6" x14ac:dyDescent="0.25">
      <c r="A159" s="14">
        <v>44069</v>
      </c>
      <c r="B159">
        <v>69015200</v>
      </c>
      <c r="C159">
        <v>284</v>
      </c>
      <c r="D159">
        <v>304.67</v>
      </c>
      <c r="E159">
        <v>284</v>
      </c>
      <c r="F159">
        <v>303.91000000000003</v>
      </c>
    </row>
    <row r="160" spans="1:6" x14ac:dyDescent="0.25">
      <c r="A160" s="14">
        <v>44070</v>
      </c>
      <c r="B160">
        <v>30301300</v>
      </c>
      <c r="C160">
        <v>300.16000000000003</v>
      </c>
      <c r="D160">
        <v>301.23</v>
      </c>
      <c r="E160">
        <v>292.02</v>
      </c>
      <c r="F160">
        <v>293.22000000000003</v>
      </c>
    </row>
    <row r="161" spans="1:6" x14ac:dyDescent="0.25">
      <c r="A161" s="14">
        <v>44071</v>
      </c>
      <c r="B161">
        <v>17172400</v>
      </c>
      <c r="C161">
        <v>295</v>
      </c>
      <c r="D161">
        <v>297.23</v>
      </c>
      <c r="E161">
        <v>290.98</v>
      </c>
      <c r="F161">
        <v>293.66000000000003</v>
      </c>
    </row>
    <row r="162" spans="1:6" x14ac:dyDescent="0.25">
      <c r="A162" s="14">
        <v>44074</v>
      </c>
      <c r="B162">
        <v>17345100</v>
      </c>
      <c r="C162">
        <v>293.95</v>
      </c>
      <c r="D162">
        <v>296.88</v>
      </c>
      <c r="E162">
        <v>291.55</v>
      </c>
      <c r="F162">
        <v>293.2</v>
      </c>
    </row>
    <row r="163" spans="1:6" x14ac:dyDescent="0.25">
      <c r="A163" s="14">
        <v>44075</v>
      </c>
      <c r="B163">
        <v>17320900</v>
      </c>
      <c r="C163">
        <v>294.70999999999998</v>
      </c>
      <c r="D163">
        <v>301.49</v>
      </c>
      <c r="E163">
        <v>292.70999999999998</v>
      </c>
      <c r="F163">
        <v>295.44</v>
      </c>
    </row>
    <row r="164" spans="1:6" x14ac:dyDescent="0.25">
      <c r="A164" s="14">
        <v>44076</v>
      </c>
      <c r="B164">
        <v>24341400</v>
      </c>
      <c r="C164">
        <v>298.88</v>
      </c>
      <c r="D164">
        <v>303.60000000000002</v>
      </c>
      <c r="E164">
        <v>293.05</v>
      </c>
      <c r="F164">
        <v>302.5</v>
      </c>
    </row>
    <row r="165" spans="1:6" x14ac:dyDescent="0.25">
      <c r="A165" s="14">
        <v>44077</v>
      </c>
      <c r="B165">
        <v>32294100</v>
      </c>
      <c r="C165">
        <v>295.99</v>
      </c>
      <c r="D165">
        <v>297.60000000000002</v>
      </c>
      <c r="E165">
        <v>283.63</v>
      </c>
      <c r="F165">
        <v>291.12</v>
      </c>
    </row>
    <row r="166" spans="1:6" x14ac:dyDescent="0.25">
      <c r="A166" s="14">
        <v>44078</v>
      </c>
      <c r="B166">
        <v>30333700</v>
      </c>
      <c r="C166">
        <v>287.25</v>
      </c>
      <c r="D166">
        <v>289</v>
      </c>
      <c r="E166">
        <v>271.14</v>
      </c>
      <c r="F166">
        <v>282.73</v>
      </c>
    </row>
    <row r="167" spans="1:6" x14ac:dyDescent="0.25">
      <c r="A167" s="14">
        <v>44082</v>
      </c>
      <c r="B167">
        <v>24864000</v>
      </c>
      <c r="C167">
        <v>271.27999999999997</v>
      </c>
      <c r="D167">
        <v>279.3</v>
      </c>
      <c r="E167">
        <v>269.42</v>
      </c>
      <c r="F167">
        <v>271.16000000000003</v>
      </c>
    </row>
    <row r="168" spans="1:6" x14ac:dyDescent="0.25">
      <c r="A168" s="14">
        <v>44083</v>
      </c>
      <c r="B168">
        <v>22918800</v>
      </c>
      <c r="C168">
        <v>275.77</v>
      </c>
      <c r="D168">
        <v>278.48</v>
      </c>
      <c r="E168">
        <v>271.35000000000002</v>
      </c>
      <c r="F168">
        <v>273.72000000000003</v>
      </c>
    </row>
    <row r="169" spans="1:6" x14ac:dyDescent="0.25">
      <c r="A169" s="14">
        <v>44084</v>
      </c>
      <c r="B169">
        <v>24814700</v>
      </c>
      <c r="C169">
        <v>275.51</v>
      </c>
      <c r="D169">
        <v>279.16000000000003</v>
      </c>
      <c r="E169">
        <v>267.02999999999997</v>
      </c>
      <c r="F169">
        <v>268.08999999999997</v>
      </c>
    </row>
    <row r="170" spans="1:6" x14ac:dyDescent="0.25">
      <c r="A170" s="14">
        <v>44085</v>
      </c>
      <c r="B170">
        <v>18913900</v>
      </c>
      <c r="C170">
        <v>270.06</v>
      </c>
      <c r="D170">
        <v>271.39</v>
      </c>
      <c r="E170">
        <v>262.64</v>
      </c>
      <c r="F170">
        <v>266.61</v>
      </c>
    </row>
    <row r="171" spans="1:6" x14ac:dyDescent="0.25">
      <c r="A171" s="14">
        <v>44088</v>
      </c>
      <c r="B171">
        <v>24093800</v>
      </c>
      <c r="C171">
        <v>270.95</v>
      </c>
      <c r="D171">
        <v>276.64</v>
      </c>
      <c r="E171">
        <v>265.7</v>
      </c>
      <c r="F171">
        <v>266.14999999999998</v>
      </c>
    </row>
    <row r="172" spans="1:6" x14ac:dyDescent="0.25">
      <c r="A172" s="14">
        <v>44089</v>
      </c>
      <c r="B172">
        <v>18478500</v>
      </c>
      <c r="C172">
        <v>270.67</v>
      </c>
      <c r="D172">
        <v>274.52</v>
      </c>
      <c r="E172">
        <v>269.3</v>
      </c>
      <c r="F172">
        <v>272.42</v>
      </c>
    </row>
    <row r="173" spans="1:6" x14ac:dyDescent="0.25">
      <c r="A173" s="14">
        <v>44090</v>
      </c>
      <c r="B173">
        <v>29183400</v>
      </c>
      <c r="C173">
        <v>267.29000000000002</v>
      </c>
      <c r="D173">
        <v>272.44</v>
      </c>
      <c r="E173">
        <v>261.79000000000002</v>
      </c>
      <c r="F173">
        <v>263.52</v>
      </c>
    </row>
    <row r="174" spans="1:6" x14ac:dyDescent="0.25">
      <c r="A174" s="14">
        <v>44091</v>
      </c>
      <c r="B174">
        <v>31281400</v>
      </c>
      <c r="C174">
        <v>258.27999999999997</v>
      </c>
      <c r="D174">
        <v>261.5</v>
      </c>
      <c r="E174">
        <v>250.19</v>
      </c>
      <c r="F174">
        <v>254.82</v>
      </c>
    </row>
    <row r="175" spans="1:6" x14ac:dyDescent="0.25">
      <c r="A175" s="14">
        <v>44092</v>
      </c>
      <c r="B175">
        <v>28130800</v>
      </c>
      <c r="C175">
        <v>258.39999999999998</v>
      </c>
      <c r="D175">
        <v>259.2</v>
      </c>
      <c r="E175">
        <v>250.05</v>
      </c>
      <c r="F175">
        <v>252.53</v>
      </c>
    </row>
    <row r="176" spans="1:6" x14ac:dyDescent="0.25">
      <c r="A176" s="14">
        <v>44095</v>
      </c>
      <c r="B176">
        <v>24709400</v>
      </c>
      <c r="C176">
        <v>247.54</v>
      </c>
      <c r="D176">
        <v>249.95</v>
      </c>
      <c r="E176">
        <v>244.13</v>
      </c>
      <c r="F176">
        <v>248.15</v>
      </c>
    </row>
    <row r="177" spans="1:6" x14ac:dyDescent="0.25">
      <c r="A177" s="14">
        <v>44096</v>
      </c>
      <c r="B177">
        <v>30293100</v>
      </c>
      <c r="C177">
        <v>253.31</v>
      </c>
      <c r="D177">
        <v>255.32</v>
      </c>
      <c r="E177">
        <v>248.22</v>
      </c>
      <c r="F177">
        <v>254.75</v>
      </c>
    </row>
    <row r="178" spans="1:6" x14ac:dyDescent="0.25">
      <c r="A178" s="14">
        <v>44097</v>
      </c>
      <c r="B178">
        <v>19641300</v>
      </c>
      <c r="C178">
        <v>255.26</v>
      </c>
      <c r="D178">
        <v>257.99</v>
      </c>
      <c r="E178">
        <v>248.15</v>
      </c>
      <c r="F178">
        <v>249.02</v>
      </c>
    </row>
    <row r="179" spans="1:6" x14ac:dyDescent="0.25">
      <c r="A179" s="14">
        <v>44098</v>
      </c>
      <c r="B179">
        <v>20006800</v>
      </c>
      <c r="C179">
        <v>246.5</v>
      </c>
      <c r="D179">
        <v>252.24</v>
      </c>
      <c r="E179">
        <v>245.62</v>
      </c>
      <c r="F179">
        <v>249.53</v>
      </c>
    </row>
    <row r="180" spans="1:6" x14ac:dyDescent="0.25">
      <c r="A180" s="14">
        <v>44099</v>
      </c>
      <c r="B180">
        <v>18351300</v>
      </c>
      <c r="C180">
        <v>249.4</v>
      </c>
      <c r="D180">
        <v>255.75</v>
      </c>
      <c r="E180">
        <v>246.61</v>
      </c>
      <c r="F180">
        <v>254.82</v>
      </c>
    </row>
    <row r="181" spans="1:6" x14ac:dyDescent="0.25">
      <c r="A181" s="14">
        <v>44102</v>
      </c>
      <c r="B181">
        <v>18826300</v>
      </c>
      <c r="C181">
        <v>259.39999999999998</v>
      </c>
      <c r="D181">
        <v>259.60000000000002</v>
      </c>
      <c r="E181">
        <v>254.82</v>
      </c>
      <c r="F181">
        <v>256.82</v>
      </c>
    </row>
    <row r="182" spans="1:6" x14ac:dyDescent="0.25">
      <c r="A182" s="14">
        <v>44103</v>
      </c>
      <c r="B182">
        <v>20200200</v>
      </c>
      <c r="C182">
        <v>257.81</v>
      </c>
      <c r="D182">
        <v>263.33</v>
      </c>
      <c r="E182">
        <v>256.89999999999998</v>
      </c>
      <c r="F182">
        <v>261.79000000000002</v>
      </c>
    </row>
    <row r="183" spans="1:6" x14ac:dyDescent="0.25">
      <c r="A183" s="14">
        <v>44104</v>
      </c>
      <c r="B183">
        <v>20105800</v>
      </c>
      <c r="C183">
        <v>261.98</v>
      </c>
      <c r="D183">
        <v>266.08</v>
      </c>
      <c r="E183">
        <v>260.10000000000002</v>
      </c>
      <c r="F183">
        <v>261.89999999999998</v>
      </c>
    </row>
    <row r="184" spans="1:6" x14ac:dyDescent="0.25">
      <c r="A184" s="14">
        <v>44105</v>
      </c>
      <c r="B184">
        <v>20009800</v>
      </c>
      <c r="C184">
        <v>265.35000000000002</v>
      </c>
      <c r="D184">
        <v>268.33</v>
      </c>
      <c r="E184">
        <v>264.8</v>
      </c>
      <c r="F184">
        <v>266.63</v>
      </c>
    </row>
    <row r="185" spans="1:6" x14ac:dyDescent="0.25">
      <c r="A185" s="14">
        <v>44106</v>
      </c>
      <c r="B185">
        <v>16367600</v>
      </c>
      <c r="C185">
        <v>261.20999999999998</v>
      </c>
      <c r="D185">
        <v>265.14999999999998</v>
      </c>
      <c r="E185">
        <v>259.18</v>
      </c>
      <c r="F185">
        <v>259.94</v>
      </c>
    </row>
    <row r="186" spans="1:6" x14ac:dyDescent="0.25">
      <c r="A186" s="14">
        <v>44109</v>
      </c>
      <c r="B186">
        <v>12822300</v>
      </c>
      <c r="C186">
        <v>262.2</v>
      </c>
      <c r="D186">
        <v>264.87</v>
      </c>
      <c r="E186">
        <v>260.83999999999997</v>
      </c>
      <c r="F186">
        <v>264.64999999999998</v>
      </c>
    </row>
    <row r="187" spans="1:6" x14ac:dyDescent="0.25">
      <c r="A187" s="14">
        <v>44110</v>
      </c>
      <c r="B187">
        <v>18696900</v>
      </c>
      <c r="C187">
        <v>261.77999999999997</v>
      </c>
      <c r="D187">
        <v>265.69</v>
      </c>
      <c r="E187">
        <v>258.24</v>
      </c>
      <c r="F187">
        <v>258.66000000000003</v>
      </c>
    </row>
    <row r="188" spans="1:6" x14ac:dyDescent="0.25">
      <c r="A188" s="14">
        <v>44111</v>
      </c>
      <c r="B188">
        <v>23133400</v>
      </c>
      <c r="C188">
        <v>259.20999999999998</v>
      </c>
      <c r="D188">
        <v>260.18</v>
      </c>
      <c r="E188">
        <v>254.82</v>
      </c>
      <c r="F188">
        <v>258.12</v>
      </c>
    </row>
    <row r="189" spans="1:6" x14ac:dyDescent="0.25">
      <c r="A189" s="14">
        <v>44112</v>
      </c>
      <c r="B189">
        <v>16312800</v>
      </c>
      <c r="C189">
        <v>259.75</v>
      </c>
      <c r="D189">
        <v>264.62</v>
      </c>
      <c r="E189">
        <v>259.14999999999998</v>
      </c>
      <c r="F189">
        <v>263.76</v>
      </c>
    </row>
    <row r="190" spans="1:6" x14ac:dyDescent="0.25">
      <c r="A190" s="14">
        <v>44113</v>
      </c>
      <c r="B190">
        <v>14107800</v>
      </c>
      <c r="C190">
        <v>264.52</v>
      </c>
      <c r="D190">
        <v>264.75</v>
      </c>
      <c r="E190">
        <v>262.17</v>
      </c>
      <c r="F190">
        <v>264.45</v>
      </c>
    </row>
    <row r="191" spans="1:6" x14ac:dyDescent="0.25">
      <c r="A191" s="14">
        <v>44116</v>
      </c>
      <c r="B191">
        <v>31019300</v>
      </c>
      <c r="C191">
        <v>270.2</v>
      </c>
      <c r="D191">
        <v>280.18</v>
      </c>
      <c r="E191">
        <v>267.87</v>
      </c>
      <c r="F191">
        <v>275.75</v>
      </c>
    </row>
    <row r="192" spans="1:6" x14ac:dyDescent="0.25">
      <c r="A192" s="14">
        <v>44117</v>
      </c>
      <c r="B192">
        <v>18063300</v>
      </c>
      <c r="C192">
        <v>277.58</v>
      </c>
      <c r="D192">
        <v>279.10000000000002</v>
      </c>
      <c r="E192">
        <v>273.39</v>
      </c>
      <c r="F192">
        <v>276.14</v>
      </c>
    </row>
    <row r="193" spans="1:6" x14ac:dyDescent="0.25">
      <c r="A193" s="14">
        <v>44118</v>
      </c>
      <c r="B193">
        <v>15601200</v>
      </c>
      <c r="C193">
        <v>277.62</v>
      </c>
      <c r="D193">
        <v>278.75</v>
      </c>
      <c r="E193">
        <v>271.5</v>
      </c>
      <c r="F193">
        <v>271.82</v>
      </c>
    </row>
    <row r="194" spans="1:6" x14ac:dyDescent="0.25">
      <c r="A194" s="14">
        <v>44119</v>
      </c>
      <c r="B194">
        <v>15416100</v>
      </c>
      <c r="C194">
        <v>267.60000000000002</v>
      </c>
      <c r="D194">
        <v>269.04000000000002</v>
      </c>
      <c r="E194">
        <v>263.67</v>
      </c>
      <c r="F194">
        <v>266.72000000000003</v>
      </c>
    </row>
    <row r="195" spans="1:6" x14ac:dyDescent="0.25">
      <c r="A195" s="14">
        <v>44120</v>
      </c>
      <c r="B195">
        <v>16622700</v>
      </c>
      <c r="C195">
        <v>267.38</v>
      </c>
      <c r="D195">
        <v>271.37</v>
      </c>
      <c r="E195">
        <v>265.3</v>
      </c>
      <c r="F195">
        <v>265.93</v>
      </c>
    </row>
    <row r="196" spans="1:6" x14ac:dyDescent="0.25">
      <c r="A196" s="14">
        <v>44123</v>
      </c>
      <c r="B196">
        <v>13587000</v>
      </c>
      <c r="C196">
        <v>265.52999999999997</v>
      </c>
      <c r="D196">
        <v>268.55</v>
      </c>
      <c r="E196">
        <v>259.88</v>
      </c>
      <c r="F196">
        <v>261.39999999999998</v>
      </c>
    </row>
    <row r="197" spans="1:6" x14ac:dyDescent="0.25">
      <c r="A197" s="14">
        <v>44124</v>
      </c>
      <c r="B197">
        <v>18763200</v>
      </c>
      <c r="C197">
        <v>263.06</v>
      </c>
      <c r="D197">
        <v>269.7</v>
      </c>
      <c r="E197">
        <v>262.88</v>
      </c>
      <c r="F197">
        <v>267.56</v>
      </c>
    </row>
    <row r="198" spans="1:6" x14ac:dyDescent="0.25">
      <c r="A198" s="14">
        <v>44125</v>
      </c>
      <c r="B198">
        <v>28998600</v>
      </c>
      <c r="C198">
        <v>279.56</v>
      </c>
      <c r="D198">
        <v>283.05</v>
      </c>
      <c r="E198">
        <v>276.37</v>
      </c>
      <c r="F198">
        <v>278.73</v>
      </c>
    </row>
    <row r="199" spans="1:6" x14ac:dyDescent="0.25">
      <c r="A199" s="14">
        <v>44126</v>
      </c>
      <c r="B199">
        <v>16720000</v>
      </c>
      <c r="C199">
        <v>279.87</v>
      </c>
      <c r="D199">
        <v>282.45</v>
      </c>
      <c r="E199">
        <v>275.04000000000002</v>
      </c>
      <c r="F199">
        <v>278.12</v>
      </c>
    </row>
    <row r="200" spans="1:6" x14ac:dyDescent="0.25">
      <c r="A200" s="14">
        <v>44127</v>
      </c>
      <c r="B200">
        <v>17535200</v>
      </c>
      <c r="C200">
        <v>278.8</v>
      </c>
      <c r="D200">
        <v>285.24</v>
      </c>
      <c r="E200">
        <v>276.82</v>
      </c>
      <c r="F200">
        <v>284.79000000000002</v>
      </c>
    </row>
    <row r="201" spans="1:6" x14ac:dyDescent="0.25">
      <c r="A201" s="14">
        <v>44130</v>
      </c>
      <c r="B201">
        <v>21322900</v>
      </c>
      <c r="C201">
        <v>283.16000000000003</v>
      </c>
      <c r="D201">
        <v>285.23</v>
      </c>
      <c r="E201">
        <v>274.26</v>
      </c>
      <c r="F201">
        <v>277.11</v>
      </c>
    </row>
    <row r="202" spans="1:6" x14ac:dyDescent="0.25">
      <c r="A202" s="14">
        <v>44131</v>
      </c>
      <c r="B202">
        <v>16287200</v>
      </c>
      <c r="C202">
        <v>278.76</v>
      </c>
      <c r="D202">
        <v>284.51</v>
      </c>
      <c r="E202">
        <v>276.31</v>
      </c>
      <c r="F202">
        <v>283.29000000000002</v>
      </c>
    </row>
    <row r="203" spans="1:6" x14ac:dyDescent="0.25">
      <c r="A203" s="14">
        <v>44132</v>
      </c>
      <c r="B203">
        <v>23121800</v>
      </c>
      <c r="C203">
        <v>278.79000000000002</v>
      </c>
      <c r="D203">
        <v>278.79000000000002</v>
      </c>
      <c r="E203">
        <v>267.26</v>
      </c>
      <c r="F203">
        <v>267.67</v>
      </c>
    </row>
    <row r="204" spans="1:6" x14ac:dyDescent="0.25">
      <c r="A204" s="14">
        <v>44133</v>
      </c>
      <c r="B204">
        <v>32368100</v>
      </c>
      <c r="C204">
        <v>276.55</v>
      </c>
      <c r="D204">
        <v>283.60000000000002</v>
      </c>
      <c r="E204">
        <v>273.77999999999997</v>
      </c>
      <c r="F204">
        <v>280.83</v>
      </c>
    </row>
    <row r="205" spans="1:6" x14ac:dyDescent="0.25">
      <c r="A205" s="14">
        <v>44134</v>
      </c>
      <c r="B205">
        <v>47247800</v>
      </c>
      <c r="C205">
        <v>274.5</v>
      </c>
      <c r="D205">
        <v>276.7</v>
      </c>
      <c r="E205">
        <v>259.10000000000002</v>
      </c>
      <c r="F205">
        <v>263.11</v>
      </c>
    </row>
    <row r="206" spans="1:6" x14ac:dyDescent="0.25">
      <c r="A206" s="14">
        <v>44137</v>
      </c>
      <c r="B206">
        <v>27165700</v>
      </c>
      <c r="C206">
        <v>264.60000000000002</v>
      </c>
      <c r="D206">
        <v>270.47000000000003</v>
      </c>
      <c r="E206">
        <v>257.33999999999997</v>
      </c>
      <c r="F206">
        <v>261.36</v>
      </c>
    </row>
    <row r="207" spans="1:6" x14ac:dyDescent="0.25">
      <c r="A207" s="14">
        <v>44138</v>
      </c>
      <c r="B207">
        <v>17961900</v>
      </c>
      <c r="C207">
        <v>263.16000000000003</v>
      </c>
      <c r="D207">
        <v>270.05</v>
      </c>
      <c r="E207">
        <v>260.88</v>
      </c>
      <c r="F207">
        <v>265.3</v>
      </c>
    </row>
    <row r="208" spans="1:6" x14ac:dyDescent="0.25">
      <c r="A208" s="14">
        <v>44139</v>
      </c>
      <c r="B208">
        <v>35364400</v>
      </c>
      <c r="C208">
        <v>281</v>
      </c>
      <c r="D208">
        <v>288.94</v>
      </c>
      <c r="E208">
        <v>278.62</v>
      </c>
      <c r="F208">
        <v>287.38</v>
      </c>
    </row>
    <row r="209" spans="1:6" x14ac:dyDescent="0.25">
      <c r="A209" s="14">
        <v>44140</v>
      </c>
      <c r="B209">
        <v>23823600</v>
      </c>
      <c r="C209">
        <v>291.89999999999998</v>
      </c>
      <c r="D209">
        <v>297.38</v>
      </c>
      <c r="E209">
        <v>288.95</v>
      </c>
      <c r="F209">
        <v>294.68</v>
      </c>
    </row>
    <row r="210" spans="1:6" x14ac:dyDescent="0.25">
      <c r="A210" s="14">
        <v>44141</v>
      </c>
      <c r="B210">
        <v>13891000</v>
      </c>
      <c r="C210">
        <v>293.95</v>
      </c>
      <c r="D210">
        <v>294.60000000000002</v>
      </c>
      <c r="E210">
        <v>288.06</v>
      </c>
      <c r="F210">
        <v>293.41000000000003</v>
      </c>
    </row>
    <row r="211" spans="1:6" x14ac:dyDescent="0.25">
      <c r="A211" s="14">
        <v>44144</v>
      </c>
      <c r="B211">
        <v>25117700</v>
      </c>
      <c r="C211">
        <v>289.87</v>
      </c>
      <c r="D211">
        <v>292.58</v>
      </c>
      <c r="E211">
        <v>278.52999999999997</v>
      </c>
      <c r="F211">
        <v>278.77</v>
      </c>
    </row>
    <row r="212" spans="1:6" x14ac:dyDescent="0.25">
      <c r="A212" s="14">
        <v>44145</v>
      </c>
      <c r="B212">
        <v>29067700</v>
      </c>
      <c r="C212">
        <v>273.10000000000002</v>
      </c>
      <c r="D212">
        <v>274</v>
      </c>
      <c r="E212">
        <v>264</v>
      </c>
      <c r="F212">
        <v>272.43</v>
      </c>
    </row>
    <row r="213" spans="1:6" x14ac:dyDescent="0.25">
      <c r="A213" s="14">
        <v>44146</v>
      </c>
      <c r="B213">
        <v>14957000</v>
      </c>
      <c r="C213">
        <v>273.47000000000003</v>
      </c>
      <c r="D213">
        <v>278.39999999999998</v>
      </c>
      <c r="E213">
        <v>272.48</v>
      </c>
      <c r="F213">
        <v>276.48</v>
      </c>
    </row>
    <row r="214" spans="1:6" x14ac:dyDescent="0.25">
      <c r="A214" s="14">
        <v>44147</v>
      </c>
      <c r="B214">
        <v>12899500</v>
      </c>
      <c r="C214">
        <v>277.18</v>
      </c>
      <c r="D214">
        <v>279.75</v>
      </c>
      <c r="E214">
        <v>274.43</v>
      </c>
      <c r="F214">
        <v>275.08</v>
      </c>
    </row>
    <row r="215" spans="1:6" x14ac:dyDescent="0.25">
      <c r="A215" s="14">
        <v>44148</v>
      </c>
      <c r="B215">
        <v>10391200</v>
      </c>
      <c r="C215">
        <v>277.72000000000003</v>
      </c>
      <c r="D215">
        <v>277.76</v>
      </c>
      <c r="E215">
        <v>273.10000000000002</v>
      </c>
      <c r="F215">
        <v>276.95</v>
      </c>
    </row>
    <row r="216" spans="1:6" x14ac:dyDescent="0.25">
      <c r="A216" s="14">
        <v>44151</v>
      </c>
      <c r="B216">
        <v>12970400</v>
      </c>
      <c r="C216">
        <v>275.05</v>
      </c>
      <c r="D216">
        <v>279.41000000000003</v>
      </c>
      <c r="E216">
        <v>274.63</v>
      </c>
      <c r="F216">
        <v>278.95999999999998</v>
      </c>
    </row>
    <row r="217" spans="1:6" x14ac:dyDescent="0.25">
      <c r="A217" s="14">
        <v>44152</v>
      </c>
      <c r="B217">
        <v>15040300</v>
      </c>
      <c r="C217">
        <v>277.68</v>
      </c>
      <c r="D217">
        <v>277.68</v>
      </c>
      <c r="E217">
        <v>273.29000000000002</v>
      </c>
      <c r="F217">
        <v>275</v>
      </c>
    </row>
    <row r="218" spans="1:6" x14ac:dyDescent="0.25">
      <c r="A218" s="14">
        <v>44153</v>
      </c>
      <c r="B218">
        <v>12152900</v>
      </c>
      <c r="C218">
        <v>274.52</v>
      </c>
      <c r="D218">
        <v>277.39</v>
      </c>
      <c r="E218">
        <v>271.83999999999997</v>
      </c>
      <c r="F218">
        <v>271.97000000000003</v>
      </c>
    </row>
    <row r="219" spans="1:6" x14ac:dyDescent="0.25">
      <c r="A219" s="14">
        <v>44154</v>
      </c>
      <c r="B219">
        <v>12963700</v>
      </c>
      <c r="C219">
        <v>271.02</v>
      </c>
      <c r="D219">
        <v>273.47000000000003</v>
      </c>
      <c r="E219">
        <v>269.19</v>
      </c>
      <c r="F219">
        <v>272.94</v>
      </c>
    </row>
    <row r="220" spans="1:6" x14ac:dyDescent="0.25">
      <c r="A220" s="14">
        <v>44155</v>
      </c>
      <c r="B220">
        <v>18114700</v>
      </c>
      <c r="C220">
        <v>272.56</v>
      </c>
      <c r="D220">
        <v>273</v>
      </c>
      <c r="E220">
        <v>269.41000000000003</v>
      </c>
      <c r="F220">
        <v>269.7</v>
      </c>
    </row>
    <row r="221" spans="1:6" x14ac:dyDescent="0.25">
      <c r="A221" s="14">
        <v>44158</v>
      </c>
      <c r="B221">
        <v>20990800</v>
      </c>
      <c r="C221">
        <v>270.89</v>
      </c>
      <c r="D221">
        <v>270.95</v>
      </c>
      <c r="E221">
        <v>264.52999999999997</v>
      </c>
      <c r="F221">
        <v>268.43</v>
      </c>
    </row>
    <row r="222" spans="1:6" x14ac:dyDescent="0.25">
      <c r="A222" s="14">
        <v>44159</v>
      </c>
      <c r="B222">
        <v>16930400</v>
      </c>
      <c r="C222">
        <v>268.49</v>
      </c>
      <c r="D222">
        <v>277.82</v>
      </c>
      <c r="E222">
        <v>267.87</v>
      </c>
      <c r="F222">
        <v>276.92</v>
      </c>
    </row>
    <row r="223" spans="1:6" x14ac:dyDescent="0.25">
      <c r="A223" s="14">
        <v>44160</v>
      </c>
      <c r="B223">
        <v>12467000</v>
      </c>
      <c r="C223">
        <v>278.14</v>
      </c>
      <c r="D223">
        <v>280.18</v>
      </c>
      <c r="E223">
        <v>272.64999999999998</v>
      </c>
      <c r="F223">
        <v>275.58999999999997</v>
      </c>
    </row>
    <row r="224" spans="1:6" x14ac:dyDescent="0.25">
      <c r="A224" s="14">
        <v>44162</v>
      </c>
      <c r="B224">
        <v>7808400</v>
      </c>
      <c r="C224">
        <v>277.39</v>
      </c>
      <c r="D224">
        <v>279.13</v>
      </c>
      <c r="E224">
        <v>274.82</v>
      </c>
      <c r="F224">
        <v>277.81</v>
      </c>
    </row>
    <row r="225" spans="1:6" x14ac:dyDescent="0.25">
      <c r="A225" s="14">
        <v>44165</v>
      </c>
      <c r="B225">
        <v>16693300</v>
      </c>
      <c r="C225">
        <v>276.02999999999997</v>
      </c>
      <c r="D225">
        <v>277.7</v>
      </c>
      <c r="E225">
        <v>271.01</v>
      </c>
      <c r="F225">
        <v>276.97000000000003</v>
      </c>
    </row>
    <row r="226" spans="1:6" x14ac:dyDescent="0.25">
      <c r="A226" s="14">
        <v>44166</v>
      </c>
      <c r="B226">
        <v>20777900</v>
      </c>
      <c r="C226">
        <v>279.16000000000003</v>
      </c>
      <c r="D226">
        <v>289.3</v>
      </c>
      <c r="E226">
        <v>278.95999999999998</v>
      </c>
      <c r="F226">
        <v>286.55</v>
      </c>
    </row>
    <row r="227" spans="1:6" x14ac:dyDescent="0.25">
      <c r="A227" s="14">
        <v>44167</v>
      </c>
      <c r="B227">
        <v>17361600</v>
      </c>
      <c r="C227">
        <v>285.36</v>
      </c>
      <c r="D227">
        <v>291.77999999999997</v>
      </c>
      <c r="E227">
        <v>280.83</v>
      </c>
      <c r="F227">
        <v>287.52</v>
      </c>
    </row>
    <row r="228" spans="1:6" x14ac:dyDescent="0.25">
      <c r="A228" s="14">
        <v>44168</v>
      </c>
      <c r="B228">
        <v>12921700</v>
      </c>
      <c r="C228">
        <v>286.25</v>
      </c>
      <c r="D228">
        <v>286.64999999999998</v>
      </c>
      <c r="E228">
        <v>281.07</v>
      </c>
      <c r="F228">
        <v>281.85000000000002</v>
      </c>
    </row>
    <row r="229" spans="1:6" x14ac:dyDescent="0.25">
      <c r="A229" s="14">
        <v>44169</v>
      </c>
      <c r="B229">
        <v>10880300</v>
      </c>
      <c r="C229">
        <v>280.3</v>
      </c>
      <c r="D229">
        <v>283.45999999999998</v>
      </c>
      <c r="E229">
        <v>279.3</v>
      </c>
      <c r="F229">
        <v>279.7</v>
      </c>
    </row>
    <row r="230" spans="1:6" x14ac:dyDescent="0.25">
      <c r="A230" s="14">
        <v>44172</v>
      </c>
      <c r="B230">
        <v>13007700</v>
      </c>
      <c r="C230">
        <v>279.19</v>
      </c>
      <c r="D230">
        <v>288.49</v>
      </c>
      <c r="E230">
        <v>278.2</v>
      </c>
      <c r="F230">
        <v>285.58</v>
      </c>
    </row>
    <row r="231" spans="1:6" x14ac:dyDescent="0.25">
      <c r="A231" s="14">
        <v>44173</v>
      </c>
      <c r="B231">
        <v>10747700</v>
      </c>
      <c r="C231">
        <v>286.01</v>
      </c>
      <c r="D231">
        <v>286.43</v>
      </c>
      <c r="E231">
        <v>281.55</v>
      </c>
      <c r="F231">
        <v>283.39999999999998</v>
      </c>
    </row>
    <row r="232" spans="1:6" x14ac:dyDescent="0.25">
      <c r="A232" s="14">
        <v>44174</v>
      </c>
      <c r="B232">
        <v>25189700</v>
      </c>
      <c r="C232">
        <v>283.66000000000003</v>
      </c>
      <c r="D232">
        <v>287.63</v>
      </c>
      <c r="E232">
        <v>271.75</v>
      </c>
      <c r="F232">
        <v>277.92</v>
      </c>
    </row>
    <row r="233" spans="1:6" x14ac:dyDescent="0.25">
      <c r="A233" s="14">
        <v>44175</v>
      </c>
      <c r="B233">
        <v>20065100</v>
      </c>
      <c r="C233">
        <v>275.54000000000002</v>
      </c>
      <c r="D233">
        <v>278.73</v>
      </c>
      <c r="E233">
        <v>271.86</v>
      </c>
      <c r="F233">
        <v>277.12</v>
      </c>
    </row>
    <row r="234" spans="1:6" x14ac:dyDescent="0.25">
      <c r="A234" s="14">
        <v>44176</v>
      </c>
      <c r="B234">
        <v>14391400</v>
      </c>
      <c r="C234">
        <v>274.52999999999997</v>
      </c>
      <c r="D234">
        <v>276.48</v>
      </c>
      <c r="E234">
        <v>270.25</v>
      </c>
      <c r="F234">
        <v>273.55</v>
      </c>
    </row>
    <row r="235" spans="1:6" x14ac:dyDescent="0.25">
      <c r="A235" s="14">
        <v>44179</v>
      </c>
      <c r="B235">
        <v>16376900</v>
      </c>
      <c r="C235">
        <v>273.37</v>
      </c>
      <c r="D235">
        <v>277.22000000000003</v>
      </c>
      <c r="E235">
        <v>271.56</v>
      </c>
      <c r="F235">
        <v>274.19</v>
      </c>
    </row>
    <row r="236" spans="1:6" x14ac:dyDescent="0.25">
      <c r="A236" s="14">
        <v>44180</v>
      </c>
      <c r="B236">
        <v>23979500</v>
      </c>
      <c r="C236">
        <v>274.83</v>
      </c>
      <c r="D236">
        <v>276.08</v>
      </c>
      <c r="E236">
        <v>267.47000000000003</v>
      </c>
      <c r="F236">
        <v>275.55</v>
      </c>
    </row>
    <row r="237" spans="1:6" x14ac:dyDescent="0.25">
      <c r="A237" s="14">
        <v>44181</v>
      </c>
      <c r="B237">
        <v>15885000</v>
      </c>
      <c r="C237">
        <v>274.76</v>
      </c>
      <c r="D237">
        <v>277.86</v>
      </c>
      <c r="E237">
        <v>272.51</v>
      </c>
      <c r="F237">
        <v>275.67</v>
      </c>
    </row>
    <row r="238" spans="1:6" x14ac:dyDescent="0.25">
      <c r="A238" s="14">
        <v>44182</v>
      </c>
      <c r="B238">
        <v>16377800</v>
      </c>
      <c r="C238">
        <v>277.07</v>
      </c>
      <c r="D238">
        <v>280.44</v>
      </c>
      <c r="E238">
        <v>273.61</v>
      </c>
      <c r="F238">
        <v>274.48</v>
      </c>
    </row>
    <row r="239" spans="1:6" x14ac:dyDescent="0.25">
      <c r="A239" s="14">
        <v>44183</v>
      </c>
      <c r="B239">
        <v>26693200</v>
      </c>
      <c r="C239">
        <v>275.77</v>
      </c>
      <c r="D239">
        <v>278</v>
      </c>
      <c r="E239">
        <v>271.14</v>
      </c>
      <c r="F239">
        <v>276.39999999999998</v>
      </c>
    </row>
    <row r="240" spans="1:6" x14ac:dyDescent="0.25">
      <c r="A240" s="14">
        <v>44186</v>
      </c>
      <c r="B240">
        <v>16553700</v>
      </c>
      <c r="C240">
        <v>272.98</v>
      </c>
      <c r="D240">
        <v>274.67</v>
      </c>
      <c r="E240">
        <v>267.79000000000002</v>
      </c>
      <c r="F240">
        <v>272.79000000000002</v>
      </c>
    </row>
    <row r="241" spans="1:6" x14ac:dyDescent="0.25">
      <c r="A241" s="14">
        <v>44187</v>
      </c>
      <c r="B241">
        <v>17312900</v>
      </c>
      <c r="C241">
        <v>271.5</v>
      </c>
      <c r="D241">
        <v>271.5</v>
      </c>
      <c r="E241">
        <v>264.63</v>
      </c>
      <c r="F241">
        <v>267.08999999999997</v>
      </c>
    </row>
    <row r="242" spans="1:6" x14ac:dyDescent="0.25">
      <c r="A242" s="14">
        <v>44188</v>
      </c>
      <c r="B242">
        <v>14329000</v>
      </c>
      <c r="C242">
        <v>266.89</v>
      </c>
      <c r="D242">
        <v>272.17</v>
      </c>
      <c r="E242">
        <v>266.23</v>
      </c>
      <c r="F242">
        <v>268.11</v>
      </c>
    </row>
    <row r="243" spans="1:6" x14ac:dyDescent="0.25">
      <c r="A243" s="14">
        <v>44189</v>
      </c>
      <c r="B243">
        <v>6702000</v>
      </c>
      <c r="C243">
        <v>268.88</v>
      </c>
      <c r="D243">
        <v>270.39999999999998</v>
      </c>
      <c r="E243">
        <v>266.2</v>
      </c>
      <c r="F243">
        <v>267.39999999999998</v>
      </c>
    </row>
    <row r="244" spans="1:6" x14ac:dyDescent="0.25">
      <c r="A244" s="14">
        <v>44193</v>
      </c>
      <c r="B244">
        <v>23299700</v>
      </c>
      <c r="C244">
        <v>268.74</v>
      </c>
      <c r="D244">
        <v>277.3</v>
      </c>
      <c r="E244">
        <v>265.66000000000003</v>
      </c>
      <c r="F244">
        <v>277</v>
      </c>
    </row>
    <row r="245" spans="1:6" x14ac:dyDescent="0.25">
      <c r="A245" s="14">
        <v>44194</v>
      </c>
      <c r="B245">
        <v>16383000</v>
      </c>
      <c r="C245">
        <v>276.95</v>
      </c>
      <c r="D245">
        <v>280.51</v>
      </c>
      <c r="E245">
        <v>276.27999999999997</v>
      </c>
      <c r="F245">
        <v>276.77999999999997</v>
      </c>
    </row>
    <row r="246" spans="1:6" x14ac:dyDescent="0.25">
      <c r="A246" s="14">
        <v>44195</v>
      </c>
      <c r="B246">
        <v>11803800</v>
      </c>
      <c r="C246">
        <v>277.95</v>
      </c>
      <c r="D246">
        <v>278.08</v>
      </c>
      <c r="E246">
        <v>271.70999999999998</v>
      </c>
      <c r="F246">
        <v>271.87</v>
      </c>
    </row>
    <row r="247" spans="1:6" x14ac:dyDescent="0.25">
      <c r="A247" s="14">
        <v>44196</v>
      </c>
      <c r="B247">
        <v>12892900</v>
      </c>
      <c r="C247">
        <v>272</v>
      </c>
      <c r="D247">
        <v>277.08999999999997</v>
      </c>
      <c r="E247">
        <v>269.81</v>
      </c>
      <c r="F247">
        <v>273.16000000000003</v>
      </c>
    </row>
    <row r="248" spans="1:6" x14ac:dyDescent="0.25">
      <c r="A248" s="14">
        <v>44200</v>
      </c>
      <c r="B248">
        <v>15106100</v>
      </c>
      <c r="C248">
        <v>274.77999999999997</v>
      </c>
      <c r="D248">
        <v>275</v>
      </c>
      <c r="E248">
        <v>265.2</v>
      </c>
      <c r="F248">
        <v>268.94</v>
      </c>
    </row>
    <row r="249" spans="1:6" x14ac:dyDescent="0.25">
      <c r="A249" s="14">
        <v>44201</v>
      </c>
      <c r="B249">
        <v>9871600</v>
      </c>
      <c r="C249">
        <v>268.29000000000002</v>
      </c>
      <c r="D249">
        <v>272.39999999999998</v>
      </c>
      <c r="E249">
        <v>268.20999999999998</v>
      </c>
      <c r="F249">
        <v>270.97000000000003</v>
      </c>
    </row>
    <row r="250" spans="1:6" x14ac:dyDescent="0.25">
      <c r="A250" s="14">
        <v>44202</v>
      </c>
      <c r="B250">
        <v>24354100</v>
      </c>
      <c r="C250">
        <v>262</v>
      </c>
      <c r="D250">
        <v>267.75</v>
      </c>
      <c r="E250">
        <v>260.01</v>
      </c>
      <c r="F250">
        <v>263.31</v>
      </c>
    </row>
    <row r="251" spans="1:6" x14ac:dyDescent="0.25">
      <c r="A251" s="14">
        <v>44203</v>
      </c>
      <c r="B251">
        <v>15789800</v>
      </c>
      <c r="C251">
        <v>265.89999999999998</v>
      </c>
      <c r="D251">
        <v>271.61</v>
      </c>
      <c r="E251">
        <v>264.77999999999997</v>
      </c>
      <c r="F251">
        <v>268.74</v>
      </c>
    </row>
    <row r="252" spans="1:6" x14ac:dyDescent="0.25">
      <c r="A252" s="14">
        <v>44204</v>
      </c>
      <c r="B252">
        <v>18528300</v>
      </c>
      <c r="C252">
        <v>268.31</v>
      </c>
      <c r="D252">
        <v>268.95</v>
      </c>
      <c r="E252">
        <v>263.18</v>
      </c>
      <c r="F252">
        <v>267.57</v>
      </c>
    </row>
    <row r="253" spans="1:6" x14ac:dyDescent="0.25">
      <c r="A253" s="14">
        <v>44207</v>
      </c>
      <c r="B253">
        <v>30412300</v>
      </c>
      <c r="C253">
        <v>260.48</v>
      </c>
      <c r="D253">
        <v>263.47000000000003</v>
      </c>
      <c r="E253">
        <v>255.9</v>
      </c>
      <c r="F253">
        <v>256.83999999999997</v>
      </c>
    </row>
    <row r="254" spans="1:6" x14ac:dyDescent="0.25">
      <c r="A254" s="14"/>
    </row>
    <row r="255" spans="1:6" x14ac:dyDescent="0.25">
      <c r="A255" s="1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97A80A-17AD-4030-8690-B0BCAFF83B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DataRaw</vt:lpstr>
      <vt:lpstr>WebQuery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Javier Blanco</dc:creator>
  <cp:lastModifiedBy>Ing. Javier Blanco</cp:lastModifiedBy>
  <dcterms:created xsi:type="dcterms:W3CDTF">2021-01-16T21:13:52Z</dcterms:created>
  <dcterms:modified xsi:type="dcterms:W3CDTF">2021-01-31T15:17:43Z</dcterms:modified>
</cp:coreProperties>
</file>